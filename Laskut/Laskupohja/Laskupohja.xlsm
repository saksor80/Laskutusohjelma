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ämäTyökirja" defaultThemeVersion="124226"/>
  <bookViews>
    <workbookView xWindow="480" yWindow="30" windowWidth="27795" windowHeight="13350"/>
  </bookViews>
  <sheets>
    <sheet name="Taul1" sheetId="1" r:id="rId1"/>
    <sheet name="Taul2" sheetId="2" r:id="rId2"/>
    <sheet name="Taul3" sheetId="3" r:id="rId3"/>
  </sheets>
  <functionGroups builtInGroupCount="17"/>
  <definedNames>
    <definedName name="_xlnm.Print_Area" localSheetId="0">Taul1!$B$2:$J$64</definedName>
  </definedNames>
  <calcPr calcId="145621"/>
</workbook>
</file>

<file path=xl/calcChain.xml><?xml version="1.0" encoding="utf-8"?>
<calcChain xmlns="http://schemas.openxmlformats.org/spreadsheetml/2006/main">
  <c r="H61" i="1" l="1"/>
  <c r="H62" i="1" l="1"/>
  <c r="I5" i="1"/>
  <c r="I41" i="1" l="1"/>
  <c r="H41" i="1"/>
  <c r="H40" i="1"/>
  <c r="I40" i="1" s="1"/>
  <c r="H39" i="1"/>
  <c r="I39" i="1" s="1"/>
  <c r="H38" i="1"/>
  <c r="I38" i="1" s="1"/>
  <c r="I37" i="1"/>
  <c r="H37" i="1"/>
  <c r="H36" i="1"/>
  <c r="I36" i="1" s="1"/>
  <c r="H35" i="1"/>
  <c r="I35" i="1" s="1"/>
  <c r="H34" i="1"/>
  <c r="I34" i="1" s="1"/>
  <c r="I33" i="1"/>
  <c r="H33" i="1"/>
  <c r="H32" i="1"/>
  <c r="I32" i="1" s="1"/>
  <c r="H31" i="1"/>
  <c r="I31" i="1" s="1"/>
  <c r="H30" i="1"/>
  <c r="I30" i="1" s="1"/>
  <c r="I29" i="1"/>
  <c r="H29" i="1"/>
  <c r="H28" i="1"/>
  <c r="I28" i="1" s="1"/>
  <c r="H27" i="1"/>
  <c r="I27" i="1" s="1"/>
  <c r="H26" i="1"/>
  <c r="I26" i="1" s="1"/>
  <c r="C53" i="1" l="1"/>
  <c r="I4" i="1" l="1"/>
  <c r="I6" i="1" s="1"/>
  <c r="H63" i="1"/>
  <c r="H22" i="1"/>
  <c r="H23" i="1"/>
  <c r="H24" i="1"/>
  <c r="I24" i="1" s="1"/>
  <c r="H25" i="1"/>
  <c r="I25" i="1" s="1"/>
  <c r="I45" i="1" l="1"/>
  <c r="I44" i="1"/>
  <c r="I8" i="1"/>
  <c r="C54" i="1" l="1"/>
  <c r="I47" i="1"/>
  <c r="C56" i="1"/>
</calcChain>
</file>

<file path=xl/sharedStrings.xml><?xml version="1.0" encoding="utf-8"?>
<sst xmlns="http://schemas.openxmlformats.org/spreadsheetml/2006/main" count="44" uniqueCount="40">
  <si>
    <t>LASKU</t>
  </si>
  <si>
    <t>Päiväys</t>
  </si>
  <si>
    <t>Laskun numero</t>
  </si>
  <si>
    <t>Eräpäivä</t>
  </si>
  <si>
    <t>Viivästyskorko</t>
  </si>
  <si>
    <t>8.0%</t>
  </si>
  <si>
    <t>Viitenumero</t>
  </si>
  <si>
    <t>Maksuehto</t>
  </si>
  <si>
    <t>14 päivää netto</t>
  </si>
  <si>
    <t>Pankki</t>
  </si>
  <si>
    <t>Swift/BIC</t>
  </si>
  <si>
    <t>Lisätiedot</t>
  </si>
  <si>
    <t>Kuvaus</t>
  </si>
  <si>
    <t>Määrä</t>
  </si>
  <si>
    <t>Yksikkö</t>
  </si>
  <si>
    <t>à hinta</t>
  </si>
  <si>
    <t>Alv %</t>
  </si>
  <si>
    <t>Alv €</t>
  </si>
  <si>
    <t>Yhteensä</t>
  </si>
  <si>
    <t>Työt</t>
  </si>
  <si>
    <t>h</t>
  </si>
  <si>
    <t>Tuotteet</t>
  </si>
  <si>
    <t>kpl</t>
  </si>
  <si>
    <t>Yritys Oy</t>
  </si>
  <si>
    <t>Nimi</t>
  </si>
  <si>
    <t>Lähiosoite</t>
  </si>
  <si>
    <t>Postinumero- ja toimipaikka</t>
  </si>
  <si>
    <t>Veroton hinta yht.</t>
  </si>
  <si>
    <t>Arvonlisävero yht.</t>
  </si>
  <si>
    <t>Tilinumero (IBAN)</t>
  </si>
  <si>
    <t xml:space="preserve">                       Lähiosoite</t>
  </si>
  <si>
    <t xml:space="preserve">                       Postinumero- ja toimipaikka</t>
  </si>
  <si>
    <r>
      <t xml:space="preserve">                  Oma yritys Oy </t>
    </r>
    <r>
      <rPr>
        <sz val="10"/>
        <color theme="1"/>
        <rFont val="Calibri"/>
        <family val="2"/>
        <scheme val="minor"/>
      </rPr>
      <t>(Y-tunnus: 1000000-1)</t>
    </r>
  </si>
  <si>
    <t>Oma yritys Oy (Y-tunnus: 1000000-1)</t>
  </si>
  <si>
    <t>Oma nimi</t>
  </si>
  <si>
    <t>Puhelin:</t>
  </si>
  <si>
    <t>Sähköposti:</t>
  </si>
  <si>
    <t>Oma tilinumero</t>
  </si>
  <si>
    <t>Koodi</t>
  </si>
  <si>
    <t>Lasku 1.1. - 31.1.2022 väliseltä ajalta.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</si>
</sst>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€&quot;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8"/>
      <color rgb="FF000000"/>
      <name val="Tahoma"/>
      <family val="2"/>
    </font>
    <font>
      <sz val="40"/>
      <color theme="1"/>
      <name val="Code 128"/>
      <charset val="2"/>
    </font>
    <font>
      <sz val="44"/>
      <color theme="1"/>
      <name val="Code 128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0" fillId="3" borderId="0" xfId="0" applyFill="1" applyAlignment="1"/>
    <xf numFmtId="0" fontId="1" fillId="3" borderId="0" xfId="0" applyFont="1" applyFill="1" applyAlignment="1"/>
    <xf numFmtId="14" fontId="1" fillId="3" borderId="0" xfId="0" applyNumberFormat="1" applyFont="1" applyFill="1" applyAlignment="1"/>
    <xf numFmtId="10" fontId="1" fillId="3" borderId="0" xfId="0" applyNumberFormat="1" applyFont="1" applyFill="1" applyAlignment="1">
      <alignment horizontal="right"/>
    </xf>
    <xf numFmtId="0" fontId="2" fillId="2" borderId="0" xfId="0" applyFont="1" applyFill="1" applyBorder="1" applyAlignment="1"/>
    <xf numFmtId="0" fontId="1" fillId="2" borderId="0" xfId="0" applyFont="1" applyFill="1" applyBorder="1"/>
    <xf numFmtId="0" fontId="0" fillId="2" borderId="0" xfId="0" applyFill="1" applyBorder="1"/>
    <xf numFmtId="0" fontId="3" fillId="2" borderId="0" xfId="1" applyFill="1"/>
    <xf numFmtId="0" fontId="4" fillId="3" borderId="0" xfId="0" applyFont="1" applyFill="1" applyBorder="1" applyAlignment="1">
      <alignment horizontal="right"/>
    </xf>
    <xf numFmtId="164" fontId="1" fillId="3" borderId="0" xfId="0" applyNumberFormat="1" applyFont="1" applyFill="1" applyBorder="1"/>
    <xf numFmtId="0" fontId="1" fillId="3" borderId="0" xfId="0" applyFont="1" applyFill="1" applyBorder="1"/>
    <xf numFmtId="164" fontId="1" fillId="3" borderId="0" xfId="0" applyNumberFormat="1" applyFont="1" applyFill="1"/>
    <xf numFmtId="164" fontId="5" fillId="3" borderId="0" xfId="0" applyNumberFormat="1" applyFont="1" applyFill="1"/>
    <xf numFmtId="0" fontId="7" fillId="3" borderId="0" xfId="0" applyFont="1" applyFill="1"/>
    <xf numFmtId="0" fontId="6" fillId="3" borderId="0" xfId="0" applyFont="1" applyFill="1" applyAlignment="1">
      <alignment horizontal="right"/>
    </xf>
    <xf numFmtId="0" fontId="7" fillId="3" borderId="0" xfId="0" applyFont="1" applyFill="1" applyBorder="1" applyAlignment="1">
      <alignment horizontal="right"/>
    </xf>
    <xf numFmtId="14" fontId="7" fillId="3" borderId="0" xfId="0" applyNumberFormat="1" applyFont="1" applyFill="1" applyBorder="1" applyAlignment="1">
      <alignment horizontal="right"/>
    </xf>
    <xf numFmtId="0" fontId="8" fillId="3" borderId="0" xfId="0" applyFont="1" applyFill="1"/>
    <xf numFmtId="0" fontId="7" fillId="3" borderId="0" xfId="0" applyFont="1" applyFill="1" applyBorder="1"/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/>
    <xf numFmtId="9" fontId="7" fillId="3" borderId="0" xfId="0" applyNumberFormat="1" applyFont="1" applyFill="1" applyBorder="1"/>
    <xf numFmtId="164" fontId="7" fillId="3" borderId="0" xfId="0" applyNumberFormat="1" applyFont="1" applyFill="1"/>
    <xf numFmtId="0" fontId="9" fillId="3" borderId="0" xfId="0" applyFont="1" applyFill="1"/>
    <xf numFmtId="0" fontId="10" fillId="3" borderId="0" xfId="0" applyFont="1" applyFill="1"/>
    <xf numFmtId="0" fontId="7" fillId="3" borderId="0" xfId="0" applyFont="1" applyFill="1" applyAlignment="1">
      <alignment horizontal="left"/>
    </xf>
    <xf numFmtId="164" fontId="12" fillId="3" borderId="0" xfId="0" applyNumberFormat="1" applyFont="1" applyFill="1"/>
    <xf numFmtId="0" fontId="1" fillId="2" borderId="0" xfId="0" applyFont="1" applyFill="1" applyBorder="1" applyAlignment="1"/>
    <xf numFmtId="0" fontId="1" fillId="2" borderId="0" xfId="0" applyFont="1" applyFill="1" applyBorder="1" applyAlignment="1">
      <alignment vertical="center"/>
    </xf>
    <xf numFmtId="0" fontId="8" fillId="2" borderId="0" xfId="0" applyFont="1" applyFill="1"/>
    <xf numFmtId="0" fontId="7" fillId="2" borderId="0" xfId="0" applyFont="1" applyFill="1"/>
    <xf numFmtId="0" fontId="7" fillId="3" borderId="0" xfId="0" applyFont="1" applyFill="1" applyBorder="1" applyAlignment="1"/>
    <xf numFmtId="10" fontId="7" fillId="3" borderId="0" xfId="0" applyNumberFormat="1" applyFont="1" applyFill="1" applyBorder="1" applyAlignment="1"/>
    <xf numFmtId="14" fontId="7" fillId="3" borderId="0" xfId="0" applyNumberFormat="1" applyFont="1" applyFill="1" applyBorder="1" applyAlignment="1"/>
    <xf numFmtId="0" fontId="7" fillId="3" borderId="0" xfId="0" applyFont="1" applyFill="1" applyBorder="1" applyAlignment="1">
      <alignment horizontal="left"/>
    </xf>
    <xf numFmtId="0" fontId="14" fillId="3" borderId="0" xfId="0" applyFont="1" applyFill="1" applyAlignment="1">
      <alignment vertical="center"/>
    </xf>
    <xf numFmtId="10" fontId="7" fillId="3" borderId="0" xfId="0" applyNumberFormat="1" applyFont="1" applyFill="1" applyBorder="1" applyAlignment="1">
      <alignment horizontal="right"/>
    </xf>
    <xf numFmtId="0" fontId="8" fillId="3" borderId="7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right" vertical="center"/>
    </xf>
    <xf numFmtId="0" fontId="7" fillId="2" borderId="0" xfId="0" applyFont="1" applyFill="1" applyBorder="1"/>
    <xf numFmtId="0" fontId="7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164" fontId="7" fillId="2" borderId="0" xfId="0" applyNumberFormat="1" applyFont="1" applyFill="1" applyBorder="1"/>
    <xf numFmtId="9" fontId="7" fillId="2" borderId="0" xfId="0" applyNumberFormat="1" applyFont="1" applyFill="1" applyBorder="1"/>
    <xf numFmtId="0" fontId="6" fillId="3" borderId="0" xfId="0" applyFont="1" applyFill="1" applyAlignment="1"/>
    <xf numFmtId="0" fontId="1" fillId="3" borderId="0" xfId="0" applyFont="1" applyFill="1" applyAlignment="1">
      <alignment vertical="center"/>
    </xf>
    <xf numFmtId="14" fontId="1" fillId="2" borderId="0" xfId="0" applyNumberFormat="1" applyFont="1" applyFill="1"/>
    <xf numFmtId="0" fontId="15" fillId="3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</cellXfs>
  <cellStyles count="2">
    <cellStyle name="Hyperlinkki" xfId="1" builtinId="8"/>
    <cellStyle name="Normaali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0</xdr:rowOff>
        </xdr:from>
        <xdr:to>
          <xdr:col>10</xdr:col>
          <xdr:colOff>981075</xdr:colOff>
          <xdr:row>1</xdr:row>
          <xdr:rowOff>371475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i-FI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Tallenna ja avaa uusi lasku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</xdr:row>
          <xdr:rowOff>0</xdr:rowOff>
        </xdr:from>
        <xdr:to>
          <xdr:col>13</xdr:col>
          <xdr:colOff>895350</xdr:colOff>
          <xdr:row>1</xdr:row>
          <xdr:rowOff>371475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i-FI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Sulje laskupohja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95249</xdr:rowOff>
        </xdr:from>
        <xdr:to>
          <xdr:col>13</xdr:col>
          <xdr:colOff>1581150</xdr:colOff>
          <xdr:row>38</xdr:row>
          <xdr:rowOff>107949</xdr:rowOff>
        </xdr:to>
        <xdr:sp macro="" textlink="">
          <xdr:nvSpPr>
            <xdr:cNvPr id="1032" name="List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2</xdr:row>
          <xdr:rowOff>95250</xdr:rowOff>
        </xdr:from>
        <xdr:to>
          <xdr:col>12</xdr:col>
          <xdr:colOff>19050</xdr:colOff>
          <xdr:row>3</xdr:row>
          <xdr:rowOff>85725</xdr:rowOff>
        </xdr:to>
        <xdr:sp macro="" textlink="">
          <xdr:nvSpPr>
            <xdr:cNvPr id="1034" name="Label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i-FI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Selaa ja avaa laskuja:</a:t>
              </a:r>
            </a:p>
          </xdr:txBody>
        </xdr:sp>
        <xdr:clientData/>
      </xdr:twoCellAnchor>
    </mc:Choice>
    <mc:Fallback/>
  </mc:AlternateContent>
  <xdr:twoCellAnchor editAs="absolute">
    <xdr:from>
      <xdr:col>1</xdr:col>
      <xdr:colOff>1</xdr:colOff>
      <xdr:row>1</xdr:row>
      <xdr:rowOff>68695</xdr:rowOff>
    </xdr:from>
    <xdr:to>
      <xdr:col>2</xdr:col>
      <xdr:colOff>886200</xdr:colOff>
      <xdr:row>5</xdr:row>
      <xdr:rowOff>29249</xdr:rowOff>
    </xdr:to>
    <xdr:pic>
      <xdr:nvPicPr>
        <xdr:cNvPr id="19" name="Kuva 1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240145"/>
          <a:ext cx="1143374" cy="11035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</xdr:row>
          <xdr:rowOff>0</xdr:rowOff>
        </xdr:from>
        <xdr:to>
          <xdr:col>12</xdr:col>
          <xdr:colOff>742950</xdr:colOff>
          <xdr:row>1</xdr:row>
          <xdr:rowOff>371475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i-FI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Luo maksumuistutus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ul1"/>
  <dimension ref="B1:Q64"/>
  <sheetViews>
    <sheetView tabSelected="1" topLeftCell="A24" workbookViewId="0">
      <selection activeCell="H61" sqref="H61"/>
    </sheetView>
  </sheetViews>
  <sheetFormatPr defaultColWidth="12.42578125" defaultRowHeight="15" x14ac:dyDescent="0.2"/>
  <cols>
    <col min="1" max="2" width="3.85546875" style="1" customWidth="1"/>
    <col min="3" max="3" width="45.5703125" style="1" customWidth="1"/>
    <col min="4" max="4" width="8" style="1" bestFit="1" customWidth="1"/>
    <col min="5" max="5" width="10.140625" style="1" bestFit="1" customWidth="1"/>
    <col min="6" max="6" width="11.5703125" style="1" customWidth="1"/>
    <col min="7" max="7" width="9.5703125" style="1" customWidth="1"/>
    <col min="8" max="8" width="12.140625" style="1" bestFit="1" customWidth="1"/>
    <col min="9" max="9" width="16.140625" style="1" bestFit="1" customWidth="1"/>
    <col min="10" max="10" width="5" style="1" customWidth="1"/>
    <col min="11" max="11" width="15.28515625" style="1" bestFit="1" customWidth="1"/>
    <col min="12" max="12" width="3" style="1" customWidth="1"/>
    <col min="13" max="13" width="12.42578125" style="1"/>
    <col min="14" max="14" width="31.5703125" style="1" customWidth="1"/>
    <col min="15" max="16" width="12.42578125" style="1"/>
    <col min="17" max="17" width="12.42578125" style="1" customWidth="1"/>
    <col min="18" max="256" width="12.42578125" style="1"/>
    <col min="257" max="258" width="3.85546875" style="1" customWidth="1"/>
    <col min="259" max="259" width="45.5703125" style="1" customWidth="1"/>
    <col min="260" max="260" width="8" style="1" bestFit="1" customWidth="1"/>
    <col min="261" max="261" width="10.140625" style="1" bestFit="1" customWidth="1"/>
    <col min="262" max="262" width="11.5703125" style="1" customWidth="1"/>
    <col min="263" max="263" width="9.5703125" style="1" customWidth="1"/>
    <col min="264" max="264" width="12.140625" style="1" bestFit="1" customWidth="1"/>
    <col min="265" max="265" width="16.140625" style="1" bestFit="1" customWidth="1"/>
    <col min="266" max="266" width="5" style="1" customWidth="1"/>
    <col min="267" max="267" width="15.28515625" style="1" bestFit="1" customWidth="1"/>
    <col min="268" max="268" width="3" style="1" customWidth="1"/>
    <col min="269" max="269" width="12.42578125" style="1"/>
    <col min="270" max="270" width="31.5703125" style="1" customWidth="1"/>
    <col min="271" max="512" width="12.42578125" style="1"/>
    <col min="513" max="514" width="3.85546875" style="1" customWidth="1"/>
    <col min="515" max="515" width="45.5703125" style="1" customWidth="1"/>
    <col min="516" max="516" width="8" style="1" bestFit="1" customWidth="1"/>
    <col min="517" max="517" width="10.140625" style="1" bestFit="1" customWidth="1"/>
    <col min="518" max="518" width="11.5703125" style="1" customWidth="1"/>
    <col min="519" max="519" width="9.5703125" style="1" customWidth="1"/>
    <col min="520" max="520" width="12.140625" style="1" bestFit="1" customWidth="1"/>
    <col min="521" max="521" width="16.140625" style="1" bestFit="1" customWidth="1"/>
    <col min="522" max="522" width="5" style="1" customWidth="1"/>
    <col min="523" max="523" width="15.28515625" style="1" bestFit="1" customWidth="1"/>
    <col min="524" max="524" width="3" style="1" customWidth="1"/>
    <col min="525" max="525" width="12.42578125" style="1"/>
    <col min="526" max="526" width="31.5703125" style="1" customWidth="1"/>
    <col min="527" max="768" width="12.42578125" style="1"/>
    <col min="769" max="770" width="3.85546875" style="1" customWidth="1"/>
    <col min="771" max="771" width="45.5703125" style="1" customWidth="1"/>
    <col min="772" max="772" width="8" style="1" bestFit="1" customWidth="1"/>
    <col min="773" max="773" width="10.140625" style="1" bestFit="1" customWidth="1"/>
    <col min="774" max="774" width="11.5703125" style="1" customWidth="1"/>
    <col min="775" max="775" width="9.5703125" style="1" customWidth="1"/>
    <col min="776" max="776" width="12.140625" style="1" bestFit="1" customWidth="1"/>
    <col min="777" max="777" width="16.140625" style="1" bestFit="1" customWidth="1"/>
    <col min="778" max="778" width="5" style="1" customWidth="1"/>
    <col min="779" max="779" width="15.28515625" style="1" bestFit="1" customWidth="1"/>
    <col min="780" max="780" width="3" style="1" customWidth="1"/>
    <col min="781" max="781" width="12.42578125" style="1"/>
    <col min="782" max="782" width="31.5703125" style="1" customWidth="1"/>
    <col min="783" max="1024" width="12.42578125" style="1"/>
    <col min="1025" max="1026" width="3.85546875" style="1" customWidth="1"/>
    <col min="1027" max="1027" width="45.5703125" style="1" customWidth="1"/>
    <col min="1028" max="1028" width="8" style="1" bestFit="1" customWidth="1"/>
    <col min="1029" max="1029" width="10.140625" style="1" bestFit="1" customWidth="1"/>
    <col min="1030" max="1030" width="11.5703125" style="1" customWidth="1"/>
    <col min="1031" max="1031" width="9.5703125" style="1" customWidth="1"/>
    <col min="1032" max="1032" width="12.140625" style="1" bestFit="1" customWidth="1"/>
    <col min="1033" max="1033" width="16.140625" style="1" bestFit="1" customWidth="1"/>
    <col min="1034" max="1034" width="5" style="1" customWidth="1"/>
    <col min="1035" max="1035" width="15.28515625" style="1" bestFit="1" customWidth="1"/>
    <col min="1036" max="1036" width="3" style="1" customWidth="1"/>
    <col min="1037" max="1037" width="12.42578125" style="1"/>
    <col min="1038" max="1038" width="31.5703125" style="1" customWidth="1"/>
    <col min="1039" max="1280" width="12.42578125" style="1"/>
    <col min="1281" max="1282" width="3.85546875" style="1" customWidth="1"/>
    <col min="1283" max="1283" width="45.5703125" style="1" customWidth="1"/>
    <col min="1284" max="1284" width="8" style="1" bestFit="1" customWidth="1"/>
    <col min="1285" max="1285" width="10.140625" style="1" bestFit="1" customWidth="1"/>
    <col min="1286" max="1286" width="11.5703125" style="1" customWidth="1"/>
    <col min="1287" max="1287" width="9.5703125" style="1" customWidth="1"/>
    <col min="1288" max="1288" width="12.140625" style="1" bestFit="1" customWidth="1"/>
    <col min="1289" max="1289" width="16.140625" style="1" bestFit="1" customWidth="1"/>
    <col min="1290" max="1290" width="5" style="1" customWidth="1"/>
    <col min="1291" max="1291" width="15.28515625" style="1" bestFit="1" customWidth="1"/>
    <col min="1292" max="1292" width="3" style="1" customWidth="1"/>
    <col min="1293" max="1293" width="12.42578125" style="1"/>
    <col min="1294" max="1294" width="31.5703125" style="1" customWidth="1"/>
    <col min="1295" max="1536" width="12.42578125" style="1"/>
    <col min="1537" max="1538" width="3.85546875" style="1" customWidth="1"/>
    <col min="1539" max="1539" width="45.5703125" style="1" customWidth="1"/>
    <col min="1540" max="1540" width="8" style="1" bestFit="1" customWidth="1"/>
    <col min="1541" max="1541" width="10.140625" style="1" bestFit="1" customWidth="1"/>
    <col min="1542" max="1542" width="11.5703125" style="1" customWidth="1"/>
    <col min="1543" max="1543" width="9.5703125" style="1" customWidth="1"/>
    <col min="1544" max="1544" width="12.140625" style="1" bestFit="1" customWidth="1"/>
    <col min="1545" max="1545" width="16.140625" style="1" bestFit="1" customWidth="1"/>
    <col min="1546" max="1546" width="5" style="1" customWidth="1"/>
    <col min="1547" max="1547" width="15.28515625" style="1" bestFit="1" customWidth="1"/>
    <col min="1548" max="1548" width="3" style="1" customWidth="1"/>
    <col min="1549" max="1549" width="12.42578125" style="1"/>
    <col min="1550" max="1550" width="31.5703125" style="1" customWidth="1"/>
    <col min="1551" max="1792" width="12.42578125" style="1"/>
    <col min="1793" max="1794" width="3.85546875" style="1" customWidth="1"/>
    <col min="1795" max="1795" width="45.5703125" style="1" customWidth="1"/>
    <col min="1796" max="1796" width="8" style="1" bestFit="1" customWidth="1"/>
    <col min="1797" max="1797" width="10.140625" style="1" bestFit="1" customWidth="1"/>
    <col min="1798" max="1798" width="11.5703125" style="1" customWidth="1"/>
    <col min="1799" max="1799" width="9.5703125" style="1" customWidth="1"/>
    <col min="1800" max="1800" width="12.140625" style="1" bestFit="1" customWidth="1"/>
    <col min="1801" max="1801" width="16.140625" style="1" bestFit="1" customWidth="1"/>
    <col min="1802" max="1802" width="5" style="1" customWidth="1"/>
    <col min="1803" max="1803" width="15.28515625" style="1" bestFit="1" customWidth="1"/>
    <col min="1804" max="1804" width="3" style="1" customWidth="1"/>
    <col min="1805" max="1805" width="12.42578125" style="1"/>
    <col min="1806" max="1806" width="31.5703125" style="1" customWidth="1"/>
    <col min="1807" max="2048" width="12.42578125" style="1"/>
    <col min="2049" max="2050" width="3.85546875" style="1" customWidth="1"/>
    <col min="2051" max="2051" width="45.5703125" style="1" customWidth="1"/>
    <col min="2052" max="2052" width="8" style="1" bestFit="1" customWidth="1"/>
    <col min="2053" max="2053" width="10.140625" style="1" bestFit="1" customWidth="1"/>
    <col min="2054" max="2054" width="11.5703125" style="1" customWidth="1"/>
    <col min="2055" max="2055" width="9.5703125" style="1" customWidth="1"/>
    <col min="2056" max="2056" width="12.140625" style="1" bestFit="1" customWidth="1"/>
    <col min="2057" max="2057" width="16.140625" style="1" bestFit="1" customWidth="1"/>
    <col min="2058" max="2058" width="5" style="1" customWidth="1"/>
    <col min="2059" max="2059" width="15.28515625" style="1" bestFit="1" customWidth="1"/>
    <col min="2060" max="2060" width="3" style="1" customWidth="1"/>
    <col min="2061" max="2061" width="12.42578125" style="1"/>
    <col min="2062" max="2062" width="31.5703125" style="1" customWidth="1"/>
    <col min="2063" max="2304" width="12.42578125" style="1"/>
    <col min="2305" max="2306" width="3.85546875" style="1" customWidth="1"/>
    <col min="2307" max="2307" width="45.5703125" style="1" customWidth="1"/>
    <col min="2308" max="2308" width="8" style="1" bestFit="1" customWidth="1"/>
    <col min="2309" max="2309" width="10.140625" style="1" bestFit="1" customWidth="1"/>
    <col min="2310" max="2310" width="11.5703125" style="1" customWidth="1"/>
    <col min="2311" max="2311" width="9.5703125" style="1" customWidth="1"/>
    <col min="2312" max="2312" width="12.140625" style="1" bestFit="1" customWidth="1"/>
    <col min="2313" max="2313" width="16.140625" style="1" bestFit="1" customWidth="1"/>
    <col min="2314" max="2314" width="5" style="1" customWidth="1"/>
    <col min="2315" max="2315" width="15.28515625" style="1" bestFit="1" customWidth="1"/>
    <col min="2316" max="2316" width="3" style="1" customWidth="1"/>
    <col min="2317" max="2317" width="12.42578125" style="1"/>
    <col min="2318" max="2318" width="31.5703125" style="1" customWidth="1"/>
    <col min="2319" max="2560" width="12.42578125" style="1"/>
    <col min="2561" max="2562" width="3.85546875" style="1" customWidth="1"/>
    <col min="2563" max="2563" width="45.5703125" style="1" customWidth="1"/>
    <col min="2564" max="2564" width="8" style="1" bestFit="1" customWidth="1"/>
    <col min="2565" max="2565" width="10.140625" style="1" bestFit="1" customWidth="1"/>
    <col min="2566" max="2566" width="11.5703125" style="1" customWidth="1"/>
    <col min="2567" max="2567" width="9.5703125" style="1" customWidth="1"/>
    <col min="2568" max="2568" width="12.140625" style="1" bestFit="1" customWidth="1"/>
    <col min="2569" max="2569" width="16.140625" style="1" bestFit="1" customWidth="1"/>
    <col min="2570" max="2570" width="5" style="1" customWidth="1"/>
    <col min="2571" max="2571" width="15.28515625" style="1" bestFit="1" customWidth="1"/>
    <col min="2572" max="2572" width="3" style="1" customWidth="1"/>
    <col min="2573" max="2573" width="12.42578125" style="1"/>
    <col min="2574" max="2574" width="31.5703125" style="1" customWidth="1"/>
    <col min="2575" max="2816" width="12.42578125" style="1"/>
    <col min="2817" max="2818" width="3.85546875" style="1" customWidth="1"/>
    <col min="2819" max="2819" width="45.5703125" style="1" customWidth="1"/>
    <col min="2820" max="2820" width="8" style="1" bestFit="1" customWidth="1"/>
    <col min="2821" max="2821" width="10.140625" style="1" bestFit="1" customWidth="1"/>
    <col min="2822" max="2822" width="11.5703125" style="1" customWidth="1"/>
    <col min="2823" max="2823" width="9.5703125" style="1" customWidth="1"/>
    <col min="2824" max="2824" width="12.140625" style="1" bestFit="1" customWidth="1"/>
    <col min="2825" max="2825" width="16.140625" style="1" bestFit="1" customWidth="1"/>
    <col min="2826" max="2826" width="5" style="1" customWidth="1"/>
    <col min="2827" max="2827" width="15.28515625" style="1" bestFit="1" customWidth="1"/>
    <col min="2828" max="2828" width="3" style="1" customWidth="1"/>
    <col min="2829" max="2829" width="12.42578125" style="1"/>
    <col min="2830" max="2830" width="31.5703125" style="1" customWidth="1"/>
    <col min="2831" max="3072" width="12.42578125" style="1"/>
    <col min="3073" max="3074" width="3.85546875" style="1" customWidth="1"/>
    <col min="3075" max="3075" width="45.5703125" style="1" customWidth="1"/>
    <col min="3076" max="3076" width="8" style="1" bestFit="1" customWidth="1"/>
    <col min="3077" max="3077" width="10.140625" style="1" bestFit="1" customWidth="1"/>
    <col min="3078" max="3078" width="11.5703125" style="1" customWidth="1"/>
    <col min="3079" max="3079" width="9.5703125" style="1" customWidth="1"/>
    <col min="3080" max="3080" width="12.140625" style="1" bestFit="1" customWidth="1"/>
    <col min="3081" max="3081" width="16.140625" style="1" bestFit="1" customWidth="1"/>
    <col min="3082" max="3082" width="5" style="1" customWidth="1"/>
    <col min="3083" max="3083" width="15.28515625" style="1" bestFit="1" customWidth="1"/>
    <col min="3084" max="3084" width="3" style="1" customWidth="1"/>
    <col min="3085" max="3085" width="12.42578125" style="1"/>
    <col min="3086" max="3086" width="31.5703125" style="1" customWidth="1"/>
    <col min="3087" max="3328" width="12.42578125" style="1"/>
    <col min="3329" max="3330" width="3.85546875" style="1" customWidth="1"/>
    <col min="3331" max="3331" width="45.5703125" style="1" customWidth="1"/>
    <col min="3332" max="3332" width="8" style="1" bestFit="1" customWidth="1"/>
    <col min="3333" max="3333" width="10.140625" style="1" bestFit="1" customWidth="1"/>
    <col min="3334" max="3334" width="11.5703125" style="1" customWidth="1"/>
    <col min="3335" max="3335" width="9.5703125" style="1" customWidth="1"/>
    <col min="3336" max="3336" width="12.140625" style="1" bestFit="1" customWidth="1"/>
    <col min="3337" max="3337" width="16.140625" style="1" bestFit="1" customWidth="1"/>
    <col min="3338" max="3338" width="5" style="1" customWidth="1"/>
    <col min="3339" max="3339" width="15.28515625" style="1" bestFit="1" customWidth="1"/>
    <col min="3340" max="3340" width="3" style="1" customWidth="1"/>
    <col min="3341" max="3341" width="12.42578125" style="1"/>
    <col min="3342" max="3342" width="31.5703125" style="1" customWidth="1"/>
    <col min="3343" max="3584" width="12.42578125" style="1"/>
    <col min="3585" max="3586" width="3.85546875" style="1" customWidth="1"/>
    <col min="3587" max="3587" width="45.5703125" style="1" customWidth="1"/>
    <col min="3588" max="3588" width="8" style="1" bestFit="1" customWidth="1"/>
    <col min="3589" max="3589" width="10.140625" style="1" bestFit="1" customWidth="1"/>
    <col min="3590" max="3590" width="11.5703125" style="1" customWidth="1"/>
    <col min="3591" max="3591" width="9.5703125" style="1" customWidth="1"/>
    <col min="3592" max="3592" width="12.140625" style="1" bestFit="1" customWidth="1"/>
    <col min="3593" max="3593" width="16.140625" style="1" bestFit="1" customWidth="1"/>
    <col min="3594" max="3594" width="5" style="1" customWidth="1"/>
    <col min="3595" max="3595" width="15.28515625" style="1" bestFit="1" customWidth="1"/>
    <col min="3596" max="3596" width="3" style="1" customWidth="1"/>
    <col min="3597" max="3597" width="12.42578125" style="1"/>
    <col min="3598" max="3598" width="31.5703125" style="1" customWidth="1"/>
    <col min="3599" max="3840" width="12.42578125" style="1"/>
    <col min="3841" max="3842" width="3.85546875" style="1" customWidth="1"/>
    <col min="3843" max="3843" width="45.5703125" style="1" customWidth="1"/>
    <col min="3844" max="3844" width="8" style="1" bestFit="1" customWidth="1"/>
    <col min="3845" max="3845" width="10.140625" style="1" bestFit="1" customWidth="1"/>
    <col min="3846" max="3846" width="11.5703125" style="1" customWidth="1"/>
    <col min="3847" max="3847" width="9.5703125" style="1" customWidth="1"/>
    <col min="3848" max="3848" width="12.140625" style="1" bestFit="1" customWidth="1"/>
    <col min="3849" max="3849" width="16.140625" style="1" bestFit="1" customWidth="1"/>
    <col min="3850" max="3850" width="5" style="1" customWidth="1"/>
    <col min="3851" max="3851" width="15.28515625" style="1" bestFit="1" customWidth="1"/>
    <col min="3852" max="3852" width="3" style="1" customWidth="1"/>
    <col min="3853" max="3853" width="12.42578125" style="1"/>
    <col min="3854" max="3854" width="31.5703125" style="1" customWidth="1"/>
    <col min="3855" max="4096" width="12.42578125" style="1"/>
    <col min="4097" max="4098" width="3.85546875" style="1" customWidth="1"/>
    <col min="4099" max="4099" width="45.5703125" style="1" customWidth="1"/>
    <col min="4100" max="4100" width="8" style="1" bestFit="1" customWidth="1"/>
    <col min="4101" max="4101" width="10.140625" style="1" bestFit="1" customWidth="1"/>
    <col min="4102" max="4102" width="11.5703125" style="1" customWidth="1"/>
    <col min="4103" max="4103" width="9.5703125" style="1" customWidth="1"/>
    <col min="4104" max="4104" width="12.140625" style="1" bestFit="1" customWidth="1"/>
    <col min="4105" max="4105" width="16.140625" style="1" bestFit="1" customWidth="1"/>
    <col min="4106" max="4106" width="5" style="1" customWidth="1"/>
    <col min="4107" max="4107" width="15.28515625" style="1" bestFit="1" customWidth="1"/>
    <col min="4108" max="4108" width="3" style="1" customWidth="1"/>
    <col min="4109" max="4109" width="12.42578125" style="1"/>
    <col min="4110" max="4110" width="31.5703125" style="1" customWidth="1"/>
    <col min="4111" max="4352" width="12.42578125" style="1"/>
    <col min="4353" max="4354" width="3.85546875" style="1" customWidth="1"/>
    <col min="4355" max="4355" width="45.5703125" style="1" customWidth="1"/>
    <col min="4356" max="4356" width="8" style="1" bestFit="1" customWidth="1"/>
    <col min="4357" max="4357" width="10.140625" style="1" bestFit="1" customWidth="1"/>
    <col min="4358" max="4358" width="11.5703125" style="1" customWidth="1"/>
    <col min="4359" max="4359" width="9.5703125" style="1" customWidth="1"/>
    <col min="4360" max="4360" width="12.140625" style="1" bestFit="1" customWidth="1"/>
    <col min="4361" max="4361" width="16.140625" style="1" bestFit="1" customWidth="1"/>
    <col min="4362" max="4362" width="5" style="1" customWidth="1"/>
    <col min="4363" max="4363" width="15.28515625" style="1" bestFit="1" customWidth="1"/>
    <col min="4364" max="4364" width="3" style="1" customWidth="1"/>
    <col min="4365" max="4365" width="12.42578125" style="1"/>
    <col min="4366" max="4366" width="31.5703125" style="1" customWidth="1"/>
    <col min="4367" max="4608" width="12.42578125" style="1"/>
    <col min="4609" max="4610" width="3.85546875" style="1" customWidth="1"/>
    <col min="4611" max="4611" width="45.5703125" style="1" customWidth="1"/>
    <col min="4612" max="4612" width="8" style="1" bestFit="1" customWidth="1"/>
    <col min="4613" max="4613" width="10.140625" style="1" bestFit="1" customWidth="1"/>
    <col min="4614" max="4614" width="11.5703125" style="1" customWidth="1"/>
    <col min="4615" max="4615" width="9.5703125" style="1" customWidth="1"/>
    <col min="4616" max="4616" width="12.140625" style="1" bestFit="1" customWidth="1"/>
    <col min="4617" max="4617" width="16.140625" style="1" bestFit="1" customWidth="1"/>
    <col min="4618" max="4618" width="5" style="1" customWidth="1"/>
    <col min="4619" max="4619" width="15.28515625" style="1" bestFit="1" customWidth="1"/>
    <col min="4620" max="4620" width="3" style="1" customWidth="1"/>
    <col min="4621" max="4621" width="12.42578125" style="1"/>
    <col min="4622" max="4622" width="31.5703125" style="1" customWidth="1"/>
    <col min="4623" max="4864" width="12.42578125" style="1"/>
    <col min="4865" max="4866" width="3.85546875" style="1" customWidth="1"/>
    <col min="4867" max="4867" width="45.5703125" style="1" customWidth="1"/>
    <col min="4868" max="4868" width="8" style="1" bestFit="1" customWidth="1"/>
    <col min="4869" max="4869" width="10.140625" style="1" bestFit="1" customWidth="1"/>
    <col min="4870" max="4870" width="11.5703125" style="1" customWidth="1"/>
    <col min="4871" max="4871" width="9.5703125" style="1" customWidth="1"/>
    <col min="4872" max="4872" width="12.140625" style="1" bestFit="1" customWidth="1"/>
    <col min="4873" max="4873" width="16.140625" style="1" bestFit="1" customWidth="1"/>
    <col min="4874" max="4874" width="5" style="1" customWidth="1"/>
    <col min="4875" max="4875" width="15.28515625" style="1" bestFit="1" customWidth="1"/>
    <col min="4876" max="4876" width="3" style="1" customWidth="1"/>
    <col min="4877" max="4877" width="12.42578125" style="1"/>
    <col min="4878" max="4878" width="31.5703125" style="1" customWidth="1"/>
    <col min="4879" max="5120" width="12.42578125" style="1"/>
    <col min="5121" max="5122" width="3.85546875" style="1" customWidth="1"/>
    <col min="5123" max="5123" width="45.5703125" style="1" customWidth="1"/>
    <col min="5124" max="5124" width="8" style="1" bestFit="1" customWidth="1"/>
    <col min="5125" max="5125" width="10.140625" style="1" bestFit="1" customWidth="1"/>
    <col min="5126" max="5126" width="11.5703125" style="1" customWidth="1"/>
    <col min="5127" max="5127" width="9.5703125" style="1" customWidth="1"/>
    <col min="5128" max="5128" width="12.140625" style="1" bestFit="1" customWidth="1"/>
    <col min="5129" max="5129" width="16.140625" style="1" bestFit="1" customWidth="1"/>
    <col min="5130" max="5130" width="5" style="1" customWidth="1"/>
    <col min="5131" max="5131" width="15.28515625" style="1" bestFit="1" customWidth="1"/>
    <col min="5132" max="5132" width="3" style="1" customWidth="1"/>
    <col min="5133" max="5133" width="12.42578125" style="1"/>
    <col min="5134" max="5134" width="31.5703125" style="1" customWidth="1"/>
    <col min="5135" max="5376" width="12.42578125" style="1"/>
    <col min="5377" max="5378" width="3.85546875" style="1" customWidth="1"/>
    <col min="5379" max="5379" width="45.5703125" style="1" customWidth="1"/>
    <col min="5380" max="5380" width="8" style="1" bestFit="1" customWidth="1"/>
    <col min="5381" max="5381" width="10.140625" style="1" bestFit="1" customWidth="1"/>
    <col min="5382" max="5382" width="11.5703125" style="1" customWidth="1"/>
    <col min="5383" max="5383" width="9.5703125" style="1" customWidth="1"/>
    <col min="5384" max="5384" width="12.140625" style="1" bestFit="1" customWidth="1"/>
    <col min="5385" max="5385" width="16.140625" style="1" bestFit="1" customWidth="1"/>
    <col min="5386" max="5386" width="5" style="1" customWidth="1"/>
    <col min="5387" max="5387" width="15.28515625" style="1" bestFit="1" customWidth="1"/>
    <col min="5388" max="5388" width="3" style="1" customWidth="1"/>
    <col min="5389" max="5389" width="12.42578125" style="1"/>
    <col min="5390" max="5390" width="31.5703125" style="1" customWidth="1"/>
    <col min="5391" max="5632" width="12.42578125" style="1"/>
    <col min="5633" max="5634" width="3.85546875" style="1" customWidth="1"/>
    <col min="5635" max="5635" width="45.5703125" style="1" customWidth="1"/>
    <col min="5636" max="5636" width="8" style="1" bestFit="1" customWidth="1"/>
    <col min="5637" max="5637" width="10.140625" style="1" bestFit="1" customWidth="1"/>
    <col min="5638" max="5638" width="11.5703125" style="1" customWidth="1"/>
    <col min="5639" max="5639" width="9.5703125" style="1" customWidth="1"/>
    <col min="5640" max="5640" width="12.140625" style="1" bestFit="1" customWidth="1"/>
    <col min="5641" max="5641" width="16.140625" style="1" bestFit="1" customWidth="1"/>
    <col min="5642" max="5642" width="5" style="1" customWidth="1"/>
    <col min="5643" max="5643" width="15.28515625" style="1" bestFit="1" customWidth="1"/>
    <col min="5644" max="5644" width="3" style="1" customWidth="1"/>
    <col min="5645" max="5645" width="12.42578125" style="1"/>
    <col min="5646" max="5646" width="31.5703125" style="1" customWidth="1"/>
    <col min="5647" max="5888" width="12.42578125" style="1"/>
    <col min="5889" max="5890" width="3.85546875" style="1" customWidth="1"/>
    <col min="5891" max="5891" width="45.5703125" style="1" customWidth="1"/>
    <col min="5892" max="5892" width="8" style="1" bestFit="1" customWidth="1"/>
    <col min="5893" max="5893" width="10.140625" style="1" bestFit="1" customWidth="1"/>
    <col min="5894" max="5894" width="11.5703125" style="1" customWidth="1"/>
    <col min="5895" max="5895" width="9.5703125" style="1" customWidth="1"/>
    <col min="5896" max="5896" width="12.140625" style="1" bestFit="1" customWidth="1"/>
    <col min="5897" max="5897" width="16.140625" style="1" bestFit="1" customWidth="1"/>
    <col min="5898" max="5898" width="5" style="1" customWidth="1"/>
    <col min="5899" max="5899" width="15.28515625" style="1" bestFit="1" customWidth="1"/>
    <col min="5900" max="5900" width="3" style="1" customWidth="1"/>
    <col min="5901" max="5901" width="12.42578125" style="1"/>
    <col min="5902" max="5902" width="31.5703125" style="1" customWidth="1"/>
    <col min="5903" max="6144" width="12.42578125" style="1"/>
    <col min="6145" max="6146" width="3.85546875" style="1" customWidth="1"/>
    <col min="6147" max="6147" width="45.5703125" style="1" customWidth="1"/>
    <col min="6148" max="6148" width="8" style="1" bestFit="1" customWidth="1"/>
    <col min="6149" max="6149" width="10.140625" style="1" bestFit="1" customWidth="1"/>
    <col min="6150" max="6150" width="11.5703125" style="1" customWidth="1"/>
    <col min="6151" max="6151" width="9.5703125" style="1" customWidth="1"/>
    <col min="6152" max="6152" width="12.140625" style="1" bestFit="1" customWidth="1"/>
    <col min="6153" max="6153" width="16.140625" style="1" bestFit="1" customWidth="1"/>
    <col min="6154" max="6154" width="5" style="1" customWidth="1"/>
    <col min="6155" max="6155" width="15.28515625" style="1" bestFit="1" customWidth="1"/>
    <col min="6156" max="6156" width="3" style="1" customWidth="1"/>
    <col min="6157" max="6157" width="12.42578125" style="1"/>
    <col min="6158" max="6158" width="31.5703125" style="1" customWidth="1"/>
    <col min="6159" max="6400" width="12.42578125" style="1"/>
    <col min="6401" max="6402" width="3.85546875" style="1" customWidth="1"/>
    <col min="6403" max="6403" width="45.5703125" style="1" customWidth="1"/>
    <col min="6404" max="6404" width="8" style="1" bestFit="1" customWidth="1"/>
    <col min="6405" max="6405" width="10.140625" style="1" bestFit="1" customWidth="1"/>
    <col min="6406" max="6406" width="11.5703125" style="1" customWidth="1"/>
    <col min="6407" max="6407" width="9.5703125" style="1" customWidth="1"/>
    <col min="6408" max="6408" width="12.140625" style="1" bestFit="1" customWidth="1"/>
    <col min="6409" max="6409" width="16.140625" style="1" bestFit="1" customWidth="1"/>
    <col min="6410" max="6410" width="5" style="1" customWidth="1"/>
    <col min="6411" max="6411" width="15.28515625" style="1" bestFit="1" customWidth="1"/>
    <col min="6412" max="6412" width="3" style="1" customWidth="1"/>
    <col min="6413" max="6413" width="12.42578125" style="1"/>
    <col min="6414" max="6414" width="31.5703125" style="1" customWidth="1"/>
    <col min="6415" max="6656" width="12.42578125" style="1"/>
    <col min="6657" max="6658" width="3.85546875" style="1" customWidth="1"/>
    <col min="6659" max="6659" width="45.5703125" style="1" customWidth="1"/>
    <col min="6660" max="6660" width="8" style="1" bestFit="1" customWidth="1"/>
    <col min="6661" max="6661" width="10.140625" style="1" bestFit="1" customWidth="1"/>
    <col min="6662" max="6662" width="11.5703125" style="1" customWidth="1"/>
    <col min="6663" max="6663" width="9.5703125" style="1" customWidth="1"/>
    <col min="6664" max="6664" width="12.140625" style="1" bestFit="1" customWidth="1"/>
    <col min="6665" max="6665" width="16.140625" style="1" bestFit="1" customWidth="1"/>
    <col min="6666" max="6666" width="5" style="1" customWidth="1"/>
    <col min="6667" max="6667" width="15.28515625" style="1" bestFit="1" customWidth="1"/>
    <col min="6668" max="6668" width="3" style="1" customWidth="1"/>
    <col min="6669" max="6669" width="12.42578125" style="1"/>
    <col min="6670" max="6670" width="31.5703125" style="1" customWidth="1"/>
    <col min="6671" max="6912" width="12.42578125" style="1"/>
    <col min="6913" max="6914" width="3.85546875" style="1" customWidth="1"/>
    <col min="6915" max="6915" width="45.5703125" style="1" customWidth="1"/>
    <col min="6916" max="6916" width="8" style="1" bestFit="1" customWidth="1"/>
    <col min="6917" max="6917" width="10.140625" style="1" bestFit="1" customWidth="1"/>
    <col min="6918" max="6918" width="11.5703125" style="1" customWidth="1"/>
    <col min="6919" max="6919" width="9.5703125" style="1" customWidth="1"/>
    <col min="6920" max="6920" width="12.140625" style="1" bestFit="1" customWidth="1"/>
    <col min="6921" max="6921" width="16.140625" style="1" bestFit="1" customWidth="1"/>
    <col min="6922" max="6922" width="5" style="1" customWidth="1"/>
    <col min="6923" max="6923" width="15.28515625" style="1" bestFit="1" customWidth="1"/>
    <col min="6924" max="6924" width="3" style="1" customWidth="1"/>
    <col min="6925" max="6925" width="12.42578125" style="1"/>
    <col min="6926" max="6926" width="31.5703125" style="1" customWidth="1"/>
    <col min="6927" max="7168" width="12.42578125" style="1"/>
    <col min="7169" max="7170" width="3.85546875" style="1" customWidth="1"/>
    <col min="7171" max="7171" width="45.5703125" style="1" customWidth="1"/>
    <col min="7172" max="7172" width="8" style="1" bestFit="1" customWidth="1"/>
    <col min="7173" max="7173" width="10.140625" style="1" bestFit="1" customWidth="1"/>
    <col min="7174" max="7174" width="11.5703125" style="1" customWidth="1"/>
    <col min="7175" max="7175" width="9.5703125" style="1" customWidth="1"/>
    <col min="7176" max="7176" width="12.140625" style="1" bestFit="1" customWidth="1"/>
    <col min="7177" max="7177" width="16.140625" style="1" bestFit="1" customWidth="1"/>
    <col min="7178" max="7178" width="5" style="1" customWidth="1"/>
    <col min="7179" max="7179" width="15.28515625" style="1" bestFit="1" customWidth="1"/>
    <col min="7180" max="7180" width="3" style="1" customWidth="1"/>
    <col min="7181" max="7181" width="12.42578125" style="1"/>
    <col min="7182" max="7182" width="31.5703125" style="1" customWidth="1"/>
    <col min="7183" max="7424" width="12.42578125" style="1"/>
    <col min="7425" max="7426" width="3.85546875" style="1" customWidth="1"/>
    <col min="7427" max="7427" width="45.5703125" style="1" customWidth="1"/>
    <col min="7428" max="7428" width="8" style="1" bestFit="1" customWidth="1"/>
    <col min="7429" max="7429" width="10.140625" style="1" bestFit="1" customWidth="1"/>
    <col min="7430" max="7430" width="11.5703125" style="1" customWidth="1"/>
    <col min="7431" max="7431" width="9.5703125" style="1" customWidth="1"/>
    <col min="7432" max="7432" width="12.140625" style="1" bestFit="1" customWidth="1"/>
    <col min="7433" max="7433" width="16.140625" style="1" bestFit="1" customWidth="1"/>
    <col min="7434" max="7434" width="5" style="1" customWidth="1"/>
    <col min="7435" max="7435" width="15.28515625" style="1" bestFit="1" customWidth="1"/>
    <col min="7436" max="7436" width="3" style="1" customWidth="1"/>
    <col min="7437" max="7437" width="12.42578125" style="1"/>
    <col min="7438" max="7438" width="31.5703125" style="1" customWidth="1"/>
    <col min="7439" max="7680" width="12.42578125" style="1"/>
    <col min="7681" max="7682" width="3.85546875" style="1" customWidth="1"/>
    <col min="7683" max="7683" width="45.5703125" style="1" customWidth="1"/>
    <col min="7684" max="7684" width="8" style="1" bestFit="1" customWidth="1"/>
    <col min="7685" max="7685" width="10.140625" style="1" bestFit="1" customWidth="1"/>
    <col min="7686" max="7686" width="11.5703125" style="1" customWidth="1"/>
    <col min="7687" max="7687" width="9.5703125" style="1" customWidth="1"/>
    <col min="7688" max="7688" width="12.140625" style="1" bestFit="1" customWidth="1"/>
    <col min="7689" max="7689" width="16.140625" style="1" bestFit="1" customWidth="1"/>
    <col min="7690" max="7690" width="5" style="1" customWidth="1"/>
    <col min="7691" max="7691" width="15.28515625" style="1" bestFit="1" customWidth="1"/>
    <col min="7692" max="7692" width="3" style="1" customWidth="1"/>
    <col min="7693" max="7693" width="12.42578125" style="1"/>
    <col min="7694" max="7694" width="31.5703125" style="1" customWidth="1"/>
    <col min="7695" max="7936" width="12.42578125" style="1"/>
    <col min="7937" max="7938" width="3.85546875" style="1" customWidth="1"/>
    <col min="7939" max="7939" width="45.5703125" style="1" customWidth="1"/>
    <col min="7940" max="7940" width="8" style="1" bestFit="1" customWidth="1"/>
    <col min="7941" max="7941" width="10.140625" style="1" bestFit="1" customWidth="1"/>
    <col min="7942" max="7942" width="11.5703125" style="1" customWidth="1"/>
    <col min="7943" max="7943" width="9.5703125" style="1" customWidth="1"/>
    <col min="7944" max="7944" width="12.140625" style="1" bestFit="1" customWidth="1"/>
    <col min="7945" max="7945" width="16.140625" style="1" bestFit="1" customWidth="1"/>
    <col min="7946" max="7946" width="5" style="1" customWidth="1"/>
    <col min="7947" max="7947" width="15.28515625" style="1" bestFit="1" customWidth="1"/>
    <col min="7948" max="7948" width="3" style="1" customWidth="1"/>
    <col min="7949" max="7949" width="12.42578125" style="1"/>
    <col min="7950" max="7950" width="31.5703125" style="1" customWidth="1"/>
    <col min="7951" max="8192" width="12.42578125" style="1"/>
    <col min="8193" max="8194" width="3.85546875" style="1" customWidth="1"/>
    <col min="8195" max="8195" width="45.5703125" style="1" customWidth="1"/>
    <col min="8196" max="8196" width="8" style="1" bestFit="1" customWidth="1"/>
    <col min="8197" max="8197" width="10.140625" style="1" bestFit="1" customWidth="1"/>
    <col min="8198" max="8198" width="11.5703125" style="1" customWidth="1"/>
    <col min="8199" max="8199" width="9.5703125" style="1" customWidth="1"/>
    <col min="8200" max="8200" width="12.140625" style="1" bestFit="1" customWidth="1"/>
    <col min="8201" max="8201" width="16.140625" style="1" bestFit="1" customWidth="1"/>
    <col min="8202" max="8202" width="5" style="1" customWidth="1"/>
    <col min="8203" max="8203" width="15.28515625" style="1" bestFit="1" customWidth="1"/>
    <col min="8204" max="8204" width="3" style="1" customWidth="1"/>
    <col min="8205" max="8205" width="12.42578125" style="1"/>
    <col min="8206" max="8206" width="31.5703125" style="1" customWidth="1"/>
    <col min="8207" max="8448" width="12.42578125" style="1"/>
    <col min="8449" max="8450" width="3.85546875" style="1" customWidth="1"/>
    <col min="8451" max="8451" width="45.5703125" style="1" customWidth="1"/>
    <col min="8452" max="8452" width="8" style="1" bestFit="1" customWidth="1"/>
    <col min="8453" max="8453" width="10.140625" style="1" bestFit="1" customWidth="1"/>
    <col min="8454" max="8454" width="11.5703125" style="1" customWidth="1"/>
    <col min="8455" max="8455" width="9.5703125" style="1" customWidth="1"/>
    <col min="8456" max="8456" width="12.140625" style="1" bestFit="1" customWidth="1"/>
    <col min="8457" max="8457" width="16.140625" style="1" bestFit="1" customWidth="1"/>
    <col min="8458" max="8458" width="5" style="1" customWidth="1"/>
    <col min="8459" max="8459" width="15.28515625" style="1" bestFit="1" customWidth="1"/>
    <col min="8460" max="8460" width="3" style="1" customWidth="1"/>
    <col min="8461" max="8461" width="12.42578125" style="1"/>
    <col min="8462" max="8462" width="31.5703125" style="1" customWidth="1"/>
    <col min="8463" max="8704" width="12.42578125" style="1"/>
    <col min="8705" max="8706" width="3.85546875" style="1" customWidth="1"/>
    <col min="8707" max="8707" width="45.5703125" style="1" customWidth="1"/>
    <col min="8708" max="8708" width="8" style="1" bestFit="1" customWidth="1"/>
    <col min="8709" max="8709" width="10.140625" style="1" bestFit="1" customWidth="1"/>
    <col min="8710" max="8710" width="11.5703125" style="1" customWidth="1"/>
    <col min="8711" max="8711" width="9.5703125" style="1" customWidth="1"/>
    <col min="8712" max="8712" width="12.140625" style="1" bestFit="1" customWidth="1"/>
    <col min="8713" max="8713" width="16.140625" style="1" bestFit="1" customWidth="1"/>
    <col min="8714" max="8714" width="5" style="1" customWidth="1"/>
    <col min="8715" max="8715" width="15.28515625" style="1" bestFit="1" customWidth="1"/>
    <col min="8716" max="8716" width="3" style="1" customWidth="1"/>
    <col min="8717" max="8717" width="12.42578125" style="1"/>
    <col min="8718" max="8718" width="31.5703125" style="1" customWidth="1"/>
    <col min="8719" max="8960" width="12.42578125" style="1"/>
    <col min="8961" max="8962" width="3.85546875" style="1" customWidth="1"/>
    <col min="8963" max="8963" width="45.5703125" style="1" customWidth="1"/>
    <col min="8964" max="8964" width="8" style="1" bestFit="1" customWidth="1"/>
    <col min="8965" max="8965" width="10.140625" style="1" bestFit="1" customWidth="1"/>
    <col min="8966" max="8966" width="11.5703125" style="1" customWidth="1"/>
    <col min="8967" max="8967" width="9.5703125" style="1" customWidth="1"/>
    <col min="8968" max="8968" width="12.140625" style="1" bestFit="1" customWidth="1"/>
    <col min="8969" max="8969" width="16.140625" style="1" bestFit="1" customWidth="1"/>
    <col min="8970" max="8970" width="5" style="1" customWidth="1"/>
    <col min="8971" max="8971" width="15.28515625" style="1" bestFit="1" customWidth="1"/>
    <col min="8972" max="8972" width="3" style="1" customWidth="1"/>
    <col min="8973" max="8973" width="12.42578125" style="1"/>
    <col min="8974" max="8974" width="31.5703125" style="1" customWidth="1"/>
    <col min="8975" max="9216" width="12.42578125" style="1"/>
    <col min="9217" max="9218" width="3.85546875" style="1" customWidth="1"/>
    <col min="9219" max="9219" width="45.5703125" style="1" customWidth="1"/>
    <col min="9220" max="9220" width="8" style="1" bestFit="1" customWidth="1"/>
    <col min="9221" max="9221" width="10.140625" style="1" bestFit="1" customWidth="1"/>
    <col min="9222" max="9222" width="11.5703125" style="1" customWidth="1"/>
    <col min="9223" max="9223" width="9.5703125" style="1" customWidth="1"/>
    <col min="9224" max="9224" width="12.140625" style="1" bestFit="1" customWidth="1"/>
    <col min="9225" max="9225" width="16.140625" style="1" bestFit="1" customWidth="1"/>
    <col min="9226" max="9226" width="5" style="1" customWidth="1"/>
    <col min="9227" max="9227" width="15.28515625" style="1" bestFit="1" customWidth="1"/>
    <col min="9228" max="9228" width="3" style="1" customWidth="1"/>
    <col min="9229" max="9229" width="12.42578125" style="1"/>
    <col min="9230" max="9230" width="31.5703125" style="1" customWidth="1"/>
    <col min="9231" max="9472" width="12.42578125" style="1"/>
    <col min="9473" max="9474" width="3.85546875" style="1" customWidth="1"/>
    <col min="9475" max="9475" width="45.5703125" style="1" customWidth="1"/>
    <col min="9476" max="9476" width="8" style="1" bestFit="1" customWidth="1"/>
    <col min="9477" max="9477" width="10.140625" style="1" bestFit="1" customWidth="1"/>
    <col min="9478" max="9478" width="11.5703125" style="1" customWidth="1"/>
    <col min="9479" max="9479" width="9.5703125" style="1" customWidth="1"/>
    <col min="9480" max="9480" width="12.140625" style="1" bestFit="1" customWidth="1"/>
    <col min="9481" max="9481" width="16.140625" style="1" bestFit="1" customWidth="1"/>
    <col min="9482" max="9482" width="5" style="1" customWidth="1"/>
    <col min="9483" max="9483" width="15.28515625" style="1" bestFit="1" customWidth="1"/>
    <col min="9484" max="9484" width="3" style="1" customWidth="1"/>
    <col min="9485" max="9485" width="12.42578125" style="1"/>
    <col min="9486" max="9486" width="31.5703125" style="1" customWidth="1"/>
    <col min="9487" max="9728" width="12.42578125" style="1"/>
    <col min="9729" max="9730" width="3.85546875" style="1" customWidth="1"/>
    <col min="9731" max="9731" width="45.5703125" style="1" customWidth="1"/>
    <col min="9732" max="9732" width="8" style="1" bestFit="1" customWidth="1"/>
    <col min="9733" max="9733" width="10.140625" style="1" bestFit="1" customWidth="1"/>
    <col min="9734" max="9734" width="11.5703125" style="1" customWidth="1"/>
    <col min="9735" max="9735" width="9.5703125" style="1" customWidth="1"/>
    <col min="9736" max="9736" width="12.140625" style="1" bestFit="1" customWidth="1"/>
    <col min="9737" max="9737" width="16.140625" style="1" bestFit="1" customWidth="1"/>
    <col min="9738" max="9738" width="5" style="1" customWidth="1"/>
    <col min="9739" max="9739" width="15.28515625" style="1" bestFit="1" customWidth="1"/>
    <col min="9740" max="9740" width="3" style="1" customWidth="1"/>
    <col min="9741" max="9741" width="12.42578125" style="1"/>
    <col min="9742" max="9742" width="31.5703125" style="1" customWidth="1"/>
    <col min="9743" max="9984" width="12.42578125" style="1"/>
    <col min="9985" max="9986" width="3.85546875" style="1" customWidth="1"/>
    <col min="9987" max="9987" width="45.5703125" style="1" customWidth="1"/>
    <col min="9988" max="9988" width="8" style="1" bestFit="1" customWidth="1"/>
    <col min="9989" max="9989" width="10.140625" style="1" bestFit="1" customWidth="1"/>
    <col min="9990" max="9990" width="11.5703125" style="1" customWidth="1"/>
    <col min="9991" max="9991" width="9.5703125" style="1" customWidth="1"/>
    <col min="9992" max="9992" width="12.140625" style="1" bestFit="1" customWidth="1"/>
    <col min="9993" max="9993" width="16.140625" style="1" bestFit="1" customWidth="1"/>
    <col min="9994" max="9994" width="5" style="1" customWidth="1"/>
    <col min="9995" max="9995" width="15.28515625" style="1" bestFit="1" customWidth="1"/>
    <col min="9996" max="9996" width="3" style="1" customWidth="1"/>
    <col min="9997" max="9997" width="12.42578125" style="1"/>
    <col min="9998" max="9998" width="31.5703125" style="1" customWidth="1"/>
    <col min="9999" max="10240" width="12.42578125" style="1"/>
    <col min="10241" max="10242" width="3.85546875" style="1" customWidth="1"/>
    <col min="10243" max="10243" width="45.5703125" style="1" customWidth="1"/>
    <col min="10244" max="10244" width="8" style="1" bestFit="1" customWidth="1"/>
    <col min="10245" max="10245" width="10.140625" style="1" bestFit="1" customWidth="1"/>
    <col min="10246" max="10246" width="11.5703125" style="1" customWidth="1"/>
    <col min="10247" max="10247" width="9.5703125" style="1" customWidth="1"/>
    <col min="10248" max="10248" width="12.140625" style="1" bestFit="1" customWidth="1"/>
    <col min="10249" max="10249" width="16.140625" style="1" bestFit="1" customWidth="1"/>
    <col min="10250" max="10250" width="5" style="1" customWidth="1"/>
    <col min="10251" max="10251" width="15.28515625" style="1" bestFit="1" customWidth="1"/>
    <col min="10252" max="10252" width="3" style="1" customWidth="1"/>
    <col min="10253" max="10253" width="12.42578125" style="1"/>
    <col min="10254" max="10254" width="31.5703125" style="1" customWidth="1"/>
    <col min="10255" max="10496" width="12.42578125" style="1"/>
    <col min="10497" max="10498" width="3.85546875" style="1" customWidth="1"/>
    <col min="10499" max="10499" width="45.5703125" style="1" customWidth="1"/>
    <col min="10500" max="10500" width="8" style="1" bestFit="1" customWidth="1"/>
    <col min="10501" max="10501" width="10.140625" style="1" bestFit="1" customWidth="1"/>
    <col min="10502" max="10502" width="11.5703125" style="1" customWidth="1"/>
    <col min="10503" max="10503" width="9.5703125" style="1" customWidth="1"/>
    <col min="10504" max="10504" width="12.140625" style="1" bestFit="1" customWidth="1"/>
    <col min="10505" max="10505" width="16.140625" style="1" bestFit="1" customWidth="1"/>
    <col min="10506" max="10506" width="5" style="1" customWidth="1"/>
    <col min="10507" max="10507" width="15.28515625" style="1" bestFit="1" customWidth="1"/>
    <col min="10508" max="10508" width="3" style="1" customWidth="1"/>
    <col min="10509" max="10509" width="12.42578125" style="1"/>
    <col min="10510" max="10510" width="31.5703125" style="1" customWidth="1"/>
    <col min="10511" max="10752" width="12.42578125" style="1"/>
    <col min="10753" max="10754" width="3.85546875" style="1" customWidth="1"/>
    <col min="10755" max="10755" width="45.5703125" style="1" customWidth="1"/>
    <col min="10756" max="10756" width="8" style="1" bestFit="1" customWidth="1"/>
    <col min="10757" max="10757" width="10.140625" style="1" bestFit="1" customWidth="1"/>
    <col min="10758" max="10758" width="11.5703125" style="1" customWidth="1"/>
    <col min="10759" max="10759" width="9.5703125" style="1" customWidth="1"/>
    <col min="10760" max="10760" width="12.140625" style="1" bestFit="1" customWidth="1"/>
    <col min="10761" max="10761" width="16.140625" style="1" bestFit="1" customWidth="1"/>
    <col min="10762" max="10762" width="5" style="1" customWidth="1"/>
    <col min="10763" max="10763" width="15.28515625" style="1" bestFit="1" customWidth="1"/>
    <col min="10764" max="10764" width="3" style="1" customWidth="1"/>
    <col min="10765" max="10765" width="12.42578125" style="1"/>
    <col min="10766" max="10766" width="31.5703125" style="1" customWidth="1"/>
    <col min="10767" max="11008" width="12.42578125" style="1"/>
    <col min="11009" max="11010" width="3.85546875" style="1" customWidth="1"/>
    <col min="11011" max="11011" width="45.5703125" style="1" customWidth="1"/>
    <col min="11012" max="11012" width="8" style="1" bestFit="1" customWidth="1"/>
    <col min="11013" max="11013" width="10.140625" style="1" bestFit="1" customWidth="1"/>
    <col min="11014" max="11014" width="11.5703125" style="1" customWidth="1"/>
    <col min="11015" max="11015" width="9.5703125" style="1" customWidth="1"/>
    <col min="11016" max="11016" width="12.140625" style="1" bestFit="1" customWidth="1"/>
    <col min="11017" max="11017" width="16.140625" style="1" bestFit="1" customWidth="1"/>
    <col min="11018" max="11018" width="5" style="1" customWidth="1"/>
    <col min="11019" max="11019" width="15.28515625" style="1" bestFit="1" customWidth="1"/>
    <col min="11020" max="11020" width="3" style="1" customWidth="1"/>
    <col min="11021" max="11021" width="12.42578125" style="1"/>
    <col min="11022" max="11022" width="31.5703125" style="1" customWidth="1"/>
    <col min="11023" max="11264" width="12.42578125" style="1"/>
    <col min="11265" max="11266" width="3.85546875" style="1" customWidth="1"/>
    <col min="11267" max="11267" width="45.5703125" style="1" customWidth="1"/>
    <col min="11268" max="11268" width="8" style="1" bestFit="1" customWidth="1"/>
    <col min="11269" max="11269" width="10.140625" style="1" bestFit="1" customWidth="1"/>
    <col min="11270" max="11270" width="11.5703125" style="1" customWidth="1"/>
    <col min="11271" max="11271" width="9.5703125" style="1" customWidth="1"/>
    <col min="11272" max="11272" width="12.140625" style="1" bestFit="1" customWidth="1"/>
    <col min="11273" max="11273" width="16.140625" style="1" bestFit="1" customWidth="1"/>
    <col min="11274" max="11274" width="5" style="1" customWidth="1"/>
    <col min="11275" max="11275" width="15.28515625" style="1" bestFit="1" customWidth="1"/>
    <col min="11276" max="11276" width="3" style="1" customWidth="1"/>
    <col min="11277" max="11277" width="12.42578125" style="1"/>
    <col min="11278" max="11278" width="31.5703125" style="1" customWidth="1"/>
    <col min="11279" max="11520" width="12.42578125" style="1"/>
    <col min="11521" max="11522" width="3.85546875" style="1" customWidth="1"/>
    <col min="11523" max="11523" width="45.5703125" style="1" customWidth="1"/>
    <col min="11524" max="11524" width="8" style="1" bestFit="1" customWidth="1"/>
    <col min="11525" max="11525" width="10.140625" style="1" bestFit="1" customWidth="1"/>
    <col min="11526" max="11526" width="11.5703125" style="1" customWidth="1"/>
    <col min="11527" max="11527" width="9.5703125" style="1" customWidth="1"/>
    <col min="11528" max="11528" width="12.140625" style="1" bestFit="1" customWidth="1"/>
    <col min="11529" max="11529" width="16.140625" style="1" bestFit="1" customWidth="1"/>
    <col min="11530" max="11530" width="5" style="1" customWidth="1"/>
    <col min="11531" max="11531" width="15.28515625" style="1" bestFit="1" customWidth="1"/>
    <col min="11532" max="11532" width="3" style="1" customWidth="1"/>
    <col min="11533" max="11533" width="12.42578125" style="1"/>
    <col min="11534" max="11534" width="31.5703125" style="1" customWidth="1"/>
    <col min="11535" max="11776" width="12.42578125" style="1"/>
    <col min="11777" max="11778" width="3.85546875" style="1" customWidth="1"/>
    <col min="11779" max="11779" width="45.5703125" style="1" customWidth="1"/>
    <col min="11780" max="11780" width="8" style="1" bestFit="1" customWidth="1"/>
    <col min="11781" max="11781" width="10.140625" style="1" bestFit="1" customWidth="1"/>
    <col min="11782" max="11782" width="11.5703125" style="1" customWidth="1"/>
    <col min="11783" max="11783" width="9.5703125" style="1" customWidth="1"/>
    <col min="11784" max="11784" width="12.140625" style="1" bestFit="1" customWidth="1"/>
    <col min="11785" max="11785" width="16.140625" style="1" bestFit="1" customWidth="1"/>
    <col min="11786" max="11786" width="5" style="1" customWidth="1"/>
    <col min="11787" max="11787" width="15.28515625" style="1" bestFit="1" customWidth="1"/>
    <col min="11788" max="11788" width="3" style="1" customWidth="1"/>
    <col min="11789" max="11789" width="12.42578125" style="1"/>
    <col min="11790" max="11790" width="31.5703125" style="1" customWidth="1"/>
    <col min="11791" max="12032" width="12.42578125" style="1"/>
    <col min="12033" max="12034" width="3.85546875" style="1" customWidth="1"/>
    <col min="12035" max="12035" width="45.5703125" style="1" customWidth="1"/>
    <col min="12036" max="12036" width="8" style="1" bestFit="1" customWidth="1"/>
    <col min="12037" max="12037" width="10.140625" style="1" bestFit="1" customWidth="1"/>
    <col min="12038" max="12038" width="11.5703125" style="1" customWidth="1"/>
    <col min="12039" max="12039" width="9.5703125" style="1" customWidth="1"/>
    <col min="12040" max="12040" width="12.140625" style="1" bestFit="1" customWidth="1"/>
    <col min="12041" max="12041" width="16.140625" style="1" bestFit="1" customWidth="1"/>
    <col min="12042" max="12042" width="5" style="1" customWidth="1"/>
    <col min="12043" max="12043" width="15.28515625" style="1" bestFit="1" customWidth="1"/>
    <col min="12044" max="12044" width="3" style="1" customWidth="1"/>
    <col min="12045" max="12045" width="12.42578125" style="1"/>
    <col min="12046" max="12046" width="31.5703125" style="1" customWidth="1"/>
    <col min="12047" max="12288" width="12.42578125" style="1"/>
    <col min="12289" max="12290" width="3.85546875" style="1" customWidth="1"/>
    <col min="12291" max="12291" width="45.5703125" style="1" customWidth="1"/>
    <col min="12292" max="12292" width="8" style="1" bestFit="1" customWidth="1"/>
    <col min="12293" max="12293" width="10.140625" style="1" bestFit="1" customWidth="1"/>
    <col min="12294" max="12294" width="11.5703125" style="1" customWidth="1"/>
    <col min="12295" max="12295" width="9.5703125" style="1" customWidth="1"/>
    <col min="12296" max="12296" width="12.140625" style="1" bestFit="1" customWidth="1"/>
    <col min="12297" max="12297" width="16.140625" style="1" bestFit="1" customWidth="1"/>
    <col min="12298" max="12298" width="5" style="1" customWidth="1"/>
    <col min="12299" max="12299" width="15.28515625" style="1" bestFit="1" customWidth="1"/>
    <col min="12300" max="12300" width="3" style="1" customWidth="1"/>
    <col min="12301" max="12301" width="12.42578125" style="1"/>
    <col min="12302" max="12302" width="31.5703125" style="1" customWidth="1"/>
    <col min="12303" max="12544" width="12.42578125" style="1"/>
    <col min="12545" max="12546" width="3.85546875" style="1" customWidth="1"/>
    <col min="12547" max="12547" width="45.5703125" style="1" customWidth="1"/>
    <col min="12548" max="12548" width="8" style="1" bestFit="1" customWidth="1"/>
    <col min="12549" max="12549" width="10.140625" style="1" bestFit="1" customWidth="1"/>
    <col min="12550" max="12550" width="11.5703125" style="1" customWidth="1"/>
    <col min="12551" max="12551" width="9.5703125" style="1" customWidth="1"/>
    <col min="12552" max="12552" width="12.140625" style="1" bestFit="1" customWidth="1"/>
    <col min="12553" max="12553" width="16.140625" style="1" bestFit="1" customWidth="1"/>
    <col min="12554" max="12554" width="5" style="1" customWidth="1"/>
    <col min="12555" max="12555" width="15.28515625" style="1" bestFit="1" customWidth="1"/>
    <col min="12556" max="12556" width="3" style="1" customWidth="1"/>
    <col min="12557" max="12557" width="12.42578125" style="1"/>
    <col min="12558" max="12558" width="31.5703125" style="1" customWidth="1"/>
    <col min="12559" max="12800" width="12.42578125" style="1"/>
    <col min="12801" max="12802" width="3.85546875" style="1" customWidth="1"/>
    <col min="12803" max="12803" width="45.5703125" style="1" customWidth="1"/>
    <col min="12804" max="12804" width="8" style="1" bestFit="1" customWidth="1"/>
    <col min="12805" max="12805" width="10.140625" style="1" bestFit="1" customWidth="1"/>
    <col min="12806" max="12806" width="11.5703125" style="1" customWidth="1"/>
    <col min="12807" max="12807" width="9.5703125" style="1" customWidth="1"/>
    <col min="12808" max="12808" width="12.140625" style="1" bestFit="1" customWidth="1"/>
    <col min="12809" max="12809" width="16.140625" style="1" bestFit="1" customWidth="1"/>
    <col min="12810" max="12810" width="5" style="1" customWidth="1"/>
    <col min="12811" max="12811" width="15.28515625" style="1" bestFit="1" customWidth="1"/>
    <col min="12812" max="12812" width="3" style="1" customWidth="1"/>
    <col min="12813" max="12813" width="12.42578125" style="1"/>
    <col min="12814" max="12814" width="31.5703125" style="1" customWidth="1"/>
    <col min="12815" max="13056" width="12.42578125" style="1"/>
    <col min="13057" max="13058" width="3.85546875" style="1" customWidth="1"/>
    <col min="13059" max="13059" width="45.5703125" style="1" customWidth="1"/>
    <col min="13060" max="13060" width="8" style="1" bestFit="1" customWidth="1"/>
    <col min="13061" max="13061" width="10.140625" style="1" bestFit="1" customWidth="1"/>
    <col min="13062" max="13062" width="11.5703125" style="1" customWidth="1"/>
    <col min="13063" max="13063" width="9.5703125" style="1" customWidth="1"/>
    <col min="13064" max="13064" width="12.140625" style="1" bestFit="1" customWidth="1"/>
    <col min="13065" max="13065" width="16.140625" style="1" bestFit="1" customWidth="1"/>
    <col min="13066" max="13066" width="5" style="1" customWidth="1"/>
    <col min="13067" max="13067" width="15.28515625" style="1" bestFit="1" customWidth="1"/>
    <col min="13068" max="13068" width="3" style="1" customWidth="1"/>
    <col min="13069" max="13069" width="12.42578125" style="1"/>
    <col min="13070" max="13070" width="31.5703125" style="1" customWidth="1"/>
    <col min="13071" max="13312" width="12.42578125" style="1"/>
    <col min="13313" max="13314" width="3.85546875" style="1" customWidth="1"/>
    <col min="13315" max="13315" width="45.5703125" style="1" customWidth="1"/>
    <col min="13316" max="13316" width="8" style="1" bestFit="1" customWidth="1"/>
    <col min="13317" max="13317" width="10.140625" style="1" bestFit="1" customWidth="1"/>
    <col min="13318" max="13318" width="11.5703125" style="1" customWidth="1"/>
    <col min="13319" max="13319" width="9.5703125" style="1" customWidth="1"/>
    <col min="13320" max="13320" width="12.140625" style="1" bestFit="1" customWidth="1"/>
    <col min="13321" max="13321" width="16.140625" style="1" bestFit="1" customWidth="1"/>
    <col min="13322" max="13322" width="5" style="1" customWidth="1"/>
    <col min="13323" max="13323" width="15.28515625" style="1" bestFit="1" customWidth="1"/>
    <col min="13324" max="13324" width="3" style="1" customWidth="1"/>
    <col min="13325" max="13325" width="12.42578125" style="1"/>
    <col min="13326" max="13326" width="31.5703125" style="1" customWidth="1"/>
    <col min="13327" max="13568" width="12.42578125" style="1"/>
    <col min="13569" max="13570" width="3.85546875" style="1" customWidth="1"/>
    <col min="13571" max="13571" width="45.5703125" style="1" customWidth="1"/>
    <col min="13572" max="13572" width="8" style="1" bestFit="1" customWidth="1"/>
    <col min="13573" max="13573" width="10.140625" style="1" bestFit="1" customWidth="1"/>
    <col min="13574" max="13574" width="11.5703125" style="1" customWidth="1"/>
    <col min="13575" max="13575" width="9.5703125" style="1" customWidth="1"/>
    <col min="13576" max="13576" width="12.140625" style="1" bestFit="1" customWidth="1"/>
    <col min="13577" max="13577" width="16.140625" style="1" bestFit="1" customWidth="1"/>
    <col min="13578" max="13578" width="5" style="1" customWidth="1"/>
    <col min="13579" max="13579" width="15.28515625" style="1" bestFit="1" customWidth="1"/>
    <col min="13580" max="13580" width="3" style="1" customWidth="1"/>
    <col min="13581" max="13581" width="12.42578125" style="1"/>
    <col min="13582" max="13582" width="31.5703125" style="1" customWidth="1"/>
    <col min="13583" max="13824" width="12.42578125" style="1"/>
    <col min="13825" max="13826" width="3.85546875" style="1" customWidth="1"/>
    <col min="13827" max="13827" width="45.5703125" style="1" customWidth="1"/>
    <col min="13828" max="13828" width="8" style="1" bestFit="1" customWidth="1"/>
    <col min="13829" max="13829" width="10.140625" style="1" bestFit="1" customWidth="1"/>
    <col min="13830" max="13830" width="11.5703125" style="1" customWidth="1"/>
    <col min="13831" max="13831" width="9.5703125" style="1" customWidth="1"/>
    <col min="13832" max="13832" width="12.140625" style="1" bestFit="1" customWidth="1"/>
    <col min="13833" max="13833" width="16.140625" style="1" bestFit="1" customWidth="1"/>
    <col min="13834" max="13834" width="5" style="1" customWidth="1"/>
    <col min="13835" max="13835" width="15.28515625" style="1" bestFit="1" customWidth="1"/>
    <col min="13836" max="13836" width="3" style="1" customWidth="1"/>
    <col min="13837" max="13837" width="12.42578125" style="1"/>
    <col min="13838" max="13838" width="31.5703125" style="1" customWidth="1"/>
    <col min="13839" max="14080" width="12.42578125" style="1"/>
    <col min="14081" max="14082" width="3.85546875" style="1" customWidth="1"/>
    <col min="14083" max="14083" width="45.5703125" style="1" customWidth="1"/>
    <col min="14084" max="14084" width="8" style="1" bestFit="1" customWidth="1"/>
    <col min="14085" max="14085" width="10.140625" style="1" bestFit="1" customWidth="1"/>
    <col min="14086" max="14086" width="11.5703125" style="1" customWidth="1"/>
    <col min="14087" max="14087" width="9.5703125" style="1" customWidth="1"/>
    <col min="14088" max="14088" width="12.140625" style="1" bestFit="1" customWidth="1"/>
    <col min="14089" max="14089" width="16.140625" style="1" bestFit="1" customWidth="1"/>
    <col min="14090" max="14090" width="5" style="1" customWidth="1"/>
    <col min="14091" max="14091" width="15.28515625" style="1" bestFit="1" customWidth="1"/>
    <col min="14092" max="14092" width="3" style="1" customWidth="1"/>
    <col min="14093" max="14093" width="12.42578125" style="1"/>
    <col min="14094" max="14094" width="31.5703125" style="1" customWidth="1"/>
    <col min="14095" max="14336" width="12.42578125" style="1"/>
    <col min="14337" max="14338" width="3.85546875" style="1" customWidth="1"/>
    <col min="14339" max="14339" width="45.5703125" style="1" customWidth="1"/>
    <col min="14340" max="14340" width="8" style="1" bestFit="1" customWidth="1"/>
    <col min="14341" max="14341" width="10.140625" style="1" bestFit="1" customWidth="1"/>
    <col min="14342" max="14342" width="11.5703125" style="1" customWidth="1"/>
    <col min="14343" max="14343" width="9.5703125" style="1" customWidth="1"/>
    <col min="14344" max="14344" width="12.140625" style="1" bestFit="1" customWidth="1"/>
    <col min="14345" max="14345" width="16.140625" style="1" bestFit="1" customWidth="1"/>
    <col min="14346" max="14346" width="5" style="1" customWidth="1"/>
    <col min="14347" max="14347" width="15.28515625" style="1" bestFit="1" customWidth="1"/>
    <col min="14348" max="14348" width="3" style="1" customWidth="1"/>
    <col min="14349" max="14349" width="12.42578125" style="1"/>
    <col min="14350" max="14350" width="31.5703125" style="1" customWidth="1"/>
    <col min="14351" max="14592" width="12.42578125" style="1"/>
    <col min="14593" max="14594" width="3.85546875" style="1" customWidth="1"/>
    <col min="14595" max="14595" width="45.5703125" style="1" customWidth="1"/>
    <col min="14596" max="14596" width="8" style="1" bestFit="1" customWidth="1"/>
    <col min="14597" max="14597" width="10.140625" style="1" bestFit="1" customWidth="1"/>
    <col min="14598" max="14598" width="11.5703125" style="1" customWidth="1"/>
    <col min="14599" max="14599" width="9.5703125" style="1" customWidth="1"/>
    <col min="14600" max="14600" width="12.140625" style="1" bestFit="1" customWidth="1"/>
    <col min="14601" max="14601" width="16.140625" style="1" bestFit="1" customWidth="1"/>
    <col min="14602" max="14602" width="5" style="1" customWidth="1"/>
    <col min="14603" max="14603" width="15.28515625" style="1" bestFit="1" customWidth="1"/>
    <col min="14604" max="14604" width="3" style="1" customWidth="1"/>
    <col min="14605" max="14605" width="12.42578125" style="1"/>
    <col min="14606" max="14606" width="31.5703125" style="1" customWidth="1"/>
    <col min="14607" max="14848" width="12.42578125" style="1"/>
    <col min="14849" max="14850" width="3.85546875" style="1" customWidth="1"/>
    <col min="14851" max="14851" width="45.5703125" style="1" customWidth="1"/>
    <col min="14852" max="14852" width="8" style="1" bestFit="1" customWidth="1"/>
    <col min="14853" max="14853" width="10.140625" style="1" bestFit="1" customWidth="1"/>
    <col min="14854" max="14854" width="11.5703125" style="1" customWidth="1"/>
    <col min="14855" max="14855" width="9.5703125" style="1" customWidth="1"/>
    <col min="14856" max="14856" width="12.140625" style="1" bestFit="1" customWidth="1"/>
    <col min="14857" max="14857" width="16.140625" style="1" bestFit="1" customWidth="1"/>
    <col min="14858" max="14858" width="5" style="1" customWidth="1"/>
    <col min="14859" max="14859" width="15.28515625" style="1" bestFit="1" customWidth="1"/>
    <col min="14860" max="14860" width="3" style="1" customWidth="1"/>
    <col min="14861" max="14861" width="12.42578125" style="1"/>
    <col min="14862" max="14862" width="31.5703125" style="1" customWidth="1"/>
    <col min="14863" max="15104" width="12.42578125" style="1"/>
    <col min="15105" max="15106" width="3.85546875" style="1" customWidth="1"/>
    <col min="15107" max="15107" width="45.5703125" style="1" customWidth="1"/>
    <col min="15108" max="15108" width="8" style="1" bestFit="1" customWidth="1"/>
    <col min="15109" max="15109" width="10.140625" style="1" bestFit="1" customWidth="1"/>
    <col min="15110" max="15110" width="11.5703125" style="1" customWidth="1"/>
    <col min="15111" max="15111" width="9.5703125" style="1" customWidth="1"/>
    <col min="15112" max="15112" width="12.140625" style="1" bestFit="1" customWidth="1"/>
    <col min="15113" max="15113" width="16.140625" style="1" bestFit="1" customWidth="1"/>
    <col min="15114" max="15114" width="5" style="1" customWidth="1"/>
    <col min="15115" max="15115" width="15.28515625" style="1" bestFit="1" customWidth="1"/>
    <col min="15116" max="15116" width="3" style="1" customWidth="1"/>
    <col min="15117" max="15117" width="12.42578125" style="1"/>
    <col min="15118" max="15118" width="31.5703125" style="1" customWidth="1"/>
    <col min="15119" max="15360" width="12.42578125" style="1"/>
    <col min="15361" max="15362" width="3.85546875" style="1" customWidth="1"/>
    <col min="15363" max="15363" width="45.5703125" style="1" customWidth="1"/>
    <col min="15364" max="15364" width="8" style="1" bestFit="1" customWidth="1"/>
    <col min="15365" max="15365" width="10.140625" style="1" bestFit="1" customWidth="1"/>
    <col min="15366" max="15366" width="11.5703125" style="1" customWidth="1"/>
    <col min="15367" max="15367" width="9.5703125" style="1" customWidth="1"/>
    <col min="15368" max="15368" width="12.140625" style="1" bestFit="1" customWidth="1"/>
    <col min="15369" max="15369" width="16.140625" style="1" bestFit="1" customWidth="1"/>
    <col min="15370" max="15370" width="5" style="1" customWidth="1"/>
    <col min="15371" max="15371" width="15.28515625" style="1" bestFit="1" customWidth="1"/>
    <col min="15372" max="15372" width="3" style="1" customWidth="1"/>
    <col min="15373" max="15373" width="12.42578125" style="1"/>
    <col min="15374" max="15374" width="31.5703125" style="1" customWidth="1"/>
    <col min="15375" max="15616" width="12.42578125" style="1"/>
    <col min="15617" max="15618" width="3.85546875" style="1" customWidth="1"/>
    <col min="15619" max="15619" width="45.5703125" style="1" customWidth="1"/>
    <col min="15620" max="15620" width="8" style="1" bestFit="1" customWidth="1"/>
    <col min="15621" max="15621" width="10.140625" style="1" bestFit="1" customWidth="1"/>
    <col min="15622" max="15622" width="11.5703125" style="1" customWidth="1"/>
    <col min="15623" max="15623" width="9.5703125" style="1" customWidth="1"/>
    <col min="15624" max="15624" width="12.140625" style="1" bestFit="1" customWidth="1"/>
    <col min="15625" max="15625" width="16.140625" style="1" bestFit="1" customWidth="1"/>
    <col min="15626" max="15626" width="5" style="1" customWidth="1"/>
    <col min="15627" max="15627" width="15.28515625" style="1" bestFit="1" customWidth="1"/>
    <col min="15628" max="15628" width="3" style="1" customWidth="1"/>
    <col min="15629" max="15629" width="12.42578125" style="1"/>
    <col min="15630" max="15630" width="31.5703125" style="1" customWidth="1"/>
    <col min="15631" max="15872" width="12.42578125" style="1"/>
    <col min="15873" max="15874" width="3.85546875" style="1" customWidth="1"/>
    <col min="15875" max="15875" width="45.5703125" style="1" customWidth="1"/>
    <col min="15876" max="15876" width="8" style="1" bestFit="1" customWidth="1"/>
    <col min="15877" max="15877" width="10.140625" style="1" bestFit="1" customWidth="1"/>
    <col min="15878" max="15878" width="11.5703125" style="1" customWidth="1"/>
    <col min="15879" max="15879" width="9.5703125" style="1" customWidth="1"/>
    <col min="15880" max="15880" width="12.140625" style="1" bestFit="1" customWidth="1"/>
    <col min="15881" max="15881" width="16.140625" style="1" bestFit="1" customWidth="1"/>
    <col min="15882" max="15882" width="5" style="1" customWidth="1"/>
    <col min="15883" max="15883" width="15.28515625" style="1" bestFit="1" customWidth="1"/>
    <col min="15884" max="15884" width="3" style="1" customWidth="1"/>
    <col min="15885" max="15885" width="12.42578125" style="1"/>
    <col min="15886" max="15886" width="31.5703125" style="1" customWidth="1"/>
    <col min="15887" max="16128" width="12.42578125" style="1"/>
    <col min="16129" max="16130" width="3.85546875" style="1" customWidth="1"/>
    <col min="16131" max="16131" width="45.5703125" style="1" customWidth="1"/>
    <col min="16132" max="16132" width="8" style="1" bestFit="1" customWidth="1"/>
    <col min="16133" max="16133" width="10.140625" style="1" bestFit="1" customWidth="1"/>
    <col min="16134" max="16134" width="11.5703125" style="1" customWidth="1"/>
    <col min="16135" max="16135" width="9.5703125" style="1" customWidth="1"/>
    <col min="16136" max="16136" width="12.140625" style="1" bestFit="1" customWidth="1"/>
    <col min="16137" max="16137" width="16.140625" style="1" bestFit="1" customWidth="1"/>
    <col min="16138" max="16138" width="5" style="1" customWidth="1"/>
    <col min="16139" max="16139" width="15.28515625" style="1" bestFit="1" customWidth="1"/>
    <col min="16140" max="16140" width="3" style="1" customWidth="1"/>
    <col min="16141" max="16141" width="12.42578125" style="1"/>
    <col min="16142" max="16142" width="31.5703125" style="1" customWidth="1"/>
    <col min="16143" max="16384" width="12.42578125" style="1"/>
  </cols>
  <sheetData>
    <row r="1" spans="2:14" ht="14.1" customHeight="1" x14ac:dyDescent="0.2">
      <c r="K1" s="9"/>
    </row>
    <row r="2" spans="2:14" ht="42.95" customHeight="1" x14ac:dyDescent="0.35">
      <c r="B2" s="2"/>
      <c r="C2" s="49" t="s">
        <v>32</v>
      </c>
      <c r="D2" s="17"/>
      <c r="E2" s="17"/>
      <c r="F2" s="17"/>
      <c r="G2" s="18" t="s">
        <v>0</v>
      </c>
      <c r="H2" s="17"/>
      <c r="I2" s="17"/>
      <c r="J2" s="2"/>
      <c r="K2" s="9"/>
    </row>
    <row r="3" spans="2:14" ht="15.75" x14ac:dyDescent="0.25">
      <c r="B3" s="2"/>
      <c r="C3" s="17" t="s">
        <v>30</v>
      </c>
      <c r="D3" s="17"/>
      <c r="E3" s="17"/>
      <c r="F3" s="17"/>
      <c r="G3" s="17"/>
      <c r="H3" s="17"/>
      <c r="I3" s="17"/>
      <c r="J3" s="2"/>
      <c r="L3" s="31"/>
      <c r="M3" s="31"/>
    </row>
    <row r="4" spans="2:14" ht="15.75" x14ac:dyDescent="0.25">
      <c r="B4" s="2"/>
      <c r="C4" s="17" t="s">
        <v>31</v>
      </c>
      <c r="D4" s="17"/>
      <c r="E4" s="17"/>
      <c r="F4" s="22"/>
      <c r="G4" s="19" t="s">
        <v>1</v>
      </c>
      <c r="H4" s="37"/>
      <c r="I4" s="20">
        <f ca="1">TODAY()</f>
        <v>44915</v>
      </c>
      <c r="J4" s="4"/>
      <c r="K4" s="9"/>
      <c r="L4" s="32"/>
      <c r="M4" s="32"/>
      <c r="N4" s="9"/>
    </row>
    <row r="5" spans="2:14" ht="15.75" x14ac:dyDescent="0.25">
      <c r="B5" s="2"/>
      <c r="C5" s="17"/>
      <c r="D5" s="17"/>
      <c r="E5" s="17"/>
      <c r="F5" s="22"/>
      <c r="G5" s="19" t="s">
        <v>2</v>
      </c>
      <c r="H5" s="35"/>
      <c r="I5" s="19">
        <f>SeuraavaLaskunNumero()</f>
        <v>1</v>
      </c>
      <c r="J5" s="5"/>
      <c r="K5" s="9"/>
      <c r="L5" s="32"/>
      <c r="M5" s="32"/>
      <c r="N5" s="9"/>
    </row>
    <row r="6" spans="2:14" ht="15.75" x14ac:dyDescent="0.25">
      <c r="B6" s="2"/>
      <c r="C6" s="17"/>
      <c r="D6" s="17"/>
      <c r="E6" s="17"/>
      <c r="F6" s="22"/>
      <c r="G6" s="20" t="s">
        <v>3</v>
      </c>
      <c r="H6" s="37"/>
      <c r="I6" s="20">
        <f ca="1">I4+14</f>
        <v>44929</v>
      </c>
      <c r="J6" s="6"/>
      <c r="L6" s="9"/>
      <c r="M6" s="9"/>
    </row>
    <row r="7" spans="2:14" ht="15.75" x14ac:dyDescent="0.25">
      <c r="B7" s="2"/>
      <c r="C7" s="17"/>
      <c r="D7" s="17"/>
      <c r="E7" s="17"/>
      <c r="F7" s="22"/>
      <c r="G7" s="19" t="s">
        <v>4</v>
      </c>
      <c r="H7" s="36"/>
      <c r="I7" s="40" t="s">
        <v>5</v>
      </c>
      <c r="J7" s="7"/>
    </row>
    <row r="8" spans="2:14" ht="15.75" customHeight="1" x14ac:dyDescent="0.25">
      <c r="B8" s="2"/>
      <c r="C8" s="33" t="s">
        <v>23</v>
      </c>
      <c r="D8" s="17"/>
      <c r="E8" s="17"/>
      <c r="F8" s="22"/>
      <c r="G8" s="19" t="s">
        <v>6</v>
      </c>
      <c r="H8" s="35"/>
      <c r="I8" s="19" t="str">
        <f ca="1">TEXT(I5,0) &amp; LEFT(TEXT(I4,"ppkkvvvv"),4) &amp; " " &amp; RIGHT(TEXT(I4,"ppkkvvvv"),4) &amp; Viitetarkiste(TEXT(I5,0) &amp; TEXT(I4,"ppkkvvvv"))</f>
        <v>12012 20222</v>
      </c>
      <c r="J8" s="2"/>
    </row>
    <row r="9" spans="2:14" ht="15.75" customHeight="1" x14ac:dyDescent="0.25">
      <c r="B9" s="2"/>
      <c r="C9" s="34" t="s">
        <v>24</v>
      </c>
      <c r="D9" s="17"/>
      <c r="E9" s="17"/>
      <c r="F9" s="22"/>
      <c r="G9" s="19" t="s">
        <v>7</v>
      </c>
      <c r="H9" s="35"/>
      <c r="I9" s="19" t="s">
        <v>8</v>
      </c>
      <c r="J9" s="2"/>
    </row>
    <row r="10" spans="2:14" ht="15.75" x14ac:dyDescent="0.25">
      <c r="B10" s="2"/>
      <c r="C10" s="34" t="s">
        <v>25</v>
      </c>
      <c r="D10" s="17"/>
      <c r="E10" s="17"/>
      <c r="F10" s="22"/>
      <c r="G10" s="19" t="s">
        <v>9</v>
      </c>
      <c r="H10" s="35"/>
      <c r="I10" s="19" t="s">
        <v>9</v>
      </c>
      <c r="J10" s="3"/>
    </row>
    <row r="11" spans="2:14" ht="15.75" customHeight="1" x14ac:dyDescent="0.25">
      <c r="B11" s="2"/>
      <c r="C11" s="34" t="s">
        <v>26</v>
      </c>
      <c r="D11" s="17"/>
      <c r="E11" s="17"/>
      <c r="F11" s="22"/>
      <c r="G11" s="19" t="s">
        <v>29</v>
      </c>
      <c r="H11" s="35"/>
      <c r="I11" s="19" t="s">
        <v>37</v>
      </c>
      <c r="J11" s="3"/>
    </row>
    <row r="12" spans="2:14" ht="15.75" x14ac:dyDescent="0.25">
      <c r="B12" s="2"/>
      <c r="C12" s="17"/>
      <c r="D12" s="17"/>
      <c r="E12" s="17"/>
      <c r="F12" s="22"/>
      <c r="G12" s="19" t="s">
        <v>10</v>
      </c>
      <c r="H12" s="35"/>
      <c r="I12" s="19" t="s">
        <v>38</v>
      </c>
      <c r="J12" s="3"/>
    </row>
    <row r="13" spans="2:14" ht="15.75" x14ac:dyDescent="0.25">
      <c r="B13" s="2"/>
      <c r="C13" s="17"/>
      <c r="D13" s="17"/>
      <c r="E13" s="17"/>
      <c r="F13" s="17"/>
      <c r="G13" s="17"/>
      <c r="H13" s="17"/>
      <c r="I13" s="17"/>
      <c r="J13" s="2"/>
    </row>
    <row r="14" spans="2:14" ht="15.75" x14ac:dyDescent="0.25">
      <c r="B14" s="2"/>
      <c r="C14" s="17"/>
      <c r="D14" s="17"/>
      <c r="E14" s="17"/>
      <c r="F14" s="17"/>
      <c r="G14" s="17"/>
      <c r="H14" s="17"/>
      <c r="I14" s="17"/>
      <c r="J14" s="2"/>
    </row>
    <row r="15" spans="2:14" ht="15.75" x14ac:dyDescent="0.25">
      <c r="B15" s="2"/>
      <c r="C15" s="21" t="s">
        <v>11</v>
      </c>
      <c r="D15" s="17"/>
      <c r="E15" s="17"/>
      <c r="F15" s="17"/>
      <c r="G15" s="17"/>
      <c r="H15" s="17"/>
      <c r="I15" s="17"/>
      <c r="J15" s="2"/>
    </row>
    <row r="16" spans="2:14" ht="15.75" x14ac:dyDescent="0.25">
      <c r="B16" s="2"/>
      <c r="C16" s="34" t="s">
        <v>39</v>
      </c>
      <c r="D16" s="17"/>
      <c r="E16" s="17"/>
      <c r="F16" s="17"/>
      <c r="G16" s="17"/>
      <c r="H16" s="17"/>
      <c r="I16" s="17"/>
      <c r="J16" s="2"/>
      <c r="M16" s="8"/>
      <c r="N16" s="9"/>
    </row>
    <row r="17" spans="2:17" ht="15.75" x14ac:dyDescent="0.25">
      <c r="B17" s="2"/>
      <c r="C17" s="34"/>
      <c r="D17" s="17"/>
      <c r="E17" s="17"/>
      <c r="F17" s="17"/>
      <c r="G17" s="17"/>
      <c r="H17" s="17"/>
      <c r="I17" s="17"/>
      <c r="J17" s="2"/>
      <c r="M17" s="10"/>
      <c r="N17" s="10"/>
    </row>
    <row r="18" spans="2:17" ht="15.75" x14ac:dyDescent="0.25">
      <c r="B18" s="2"/>
      <c r="C18" s="34"/>
      <c r="D18" s="17"/>
      <c r="E18" s="17"/>
      <c r="F18" s="17"/>
      <c r="G18" s="17"/>
      <c r="H18" s="17"/>
      <c r="I18" s="17"/>
      <c r="J18" s="2"/>
      <c r="M18" s="10"/>
      <c r="N18" s="11"/>
    </row>
    <row r="19" spans="2:17" ht="15.75" x14ac:dyDescent="0.25">
      <c r="B19" s="2"/>
      <c r="C19" s="34"/>
      <c r="D19" s="17"/>
      <c r="E19" s="17"/>
      <c r="F19" s="17"/>
      <c r="G19" s="17"/>
      <c r="H19" s="17"/>
      <c r="I19" s="17"/>
      <c r="J19" s="2"/>
      <c r="M19" s="10"/>
      <c r="N19" s="11"/>
    </row>
    <row r="20" spans="2:17" ht="15.75" x14ac:dyDescent="0.25">
      <c r="B20" s="2"/>
      <c r="C20" s="2"/>
      <c r="D20" s="2"/>
      <c r="E20" s="2"/>
      <c r="F20" s="2"/>
      <c r="G20" s="2"/>
      <c r="H20" s="2"/>
      <c r="I20" s="2"/>
      <c r="J20" s="12"/>
    </row>
    <row r="21" spans="2:17" ht="15.75" x14ac:dyDescent="0.2">
      <c r="B21" s="2"/>
      <c r="C21" s="41" t="s">
        <v>12</v>
      </c>
      <c r="D21" s="42" t="s">
        <v>13</v>
      </c>
      <c r="E21" s="42" t="s">
        <v>14</v>
      </c>
      <c r="F21" s="43" t="s">
        <v>15</v>
      </c>
      <c r="G21" s="43" t="s">
        <v>16</v>
      </c>
      <c r="H21" s="43" t="s">
        <v>17</v>
      </c>
      <c r="I21" s="43" t="s">
        <v>18</v>
      </c>
      <c r="J21" s="13"/>
    </row>
    <row r="22" spans="2:17" ht="15.75" x14ac:dyDescent="0.25">
      <c r="B22" s="2"/>
      <c r="C22" s="44" t="s">
        <v>19</v>
      </c>
      <c r="D22" s="45">
        <v>10</v>
      </c>
      <c r="E22" s="46" t="s">
        <v>20</v>
      </c>
      <c r="F22" s="47">
        <v>35</v>
      </c>
      <c r="G22" s="48">
        <v>0.24</v>
      </c>
      <c r="H22" s="47">
        <f>IF(ISBLANK(G22),"",IF(F22*G22*D22&gt;0,F22*G22*D22,0))</f>
        <v>84</v>
      </c>
      <c r="I22" s="47">
        <v>100</v>
      </c>
      <c r="J22" s="13"/>
      <c r="Q22" s="51"/>
    </row>
    <row r="23" spans="2:17" ht="15.75" x14ac:dyDescent="0.25">
      <c r="B23" s="2"/>
      <c r="C23" s="44" t="s">
        <v>21</v>
      </c>
      <c r="D23" s="45">
        <v>100</v>
      </c>
      <c r="E23" s="46" t="s">
        <v>22</v>
      </c>
      <c r="F23" s="47">
        <v>1.25</v>
      </c>
      <c r="G23" s="48">
        <v>0.24</v>
      </c>
      <c r="H23" s="47">
        <f>IF(ISBLANK(G23),"",IF(F23*G23*D23&gt;0,F23*G23*D23,0))</f>
        <v>30</v>
      </c>
      <c r="I23" s="47">
        <v>200</v>
      </c>
      <c r="J23" s="13"/>
    </row>
    <row r="24" spans="2:17" ht="15.75" x14ac:dyDescent="0.25">
      <c r="B24" s="2"/>
      <c r="C24" s="44"/>
      <c r="D24" s="45"/>
      <c r="E24" s="45"/>
      <c r="F24" s="47"/>
      <c r="G24" s="48"/>
      <c r="H24" s="47" t="str">
        <f t="shared" ref="H24:H25" si="0">IF(ISBLANK(G24),"",IF(F24*G24*D24&gt;0,F24*G24*D24,0))</f>
        <v/>
      </c>
      <c r="I24" s="47" t="str">
        <f t="shared" ref="I24:I25" si="1">IF(SUM(D24*F24,H24)&gt;0,SUM(D24*F24,H24),"")</f>
        <v/>
      </c>
      <c r="J24" s="13"/>
    </row>
    <row r="25" spans="2:17" ht="15.75" x14ac:dyDescent="0.25">
      <c r="B25" s="2"/>
      <c r="C25" s="44"/>
      <c r="D25" s="45"/>
      <c r="E25" s="45"/>
      <c r="F25" s="47"/>
      <c r="G25" s="48"/>
      <c r="H25" s="47" t="str">
        <f t="shared" si="0"/>
        <v/>
      </c>
      <c r="I25" s="47" t="str">
        <f t="shared" si="1"/>
        <v/>
      </c>
      <c r="J25" s="13"/>
    </row>
    <row r="26" spans="2:17" ht="15.75" x14ac:dyDescent="0.25">
      <c r="B26" s="2"/>
      <c r="C26" s="44"/>
      <c r="D26" s="45"/>
      <c r="E26" s="45"/>
      <c r="F26" s="47"/>
      <c r="G26" s="48"/>
      <c r="H26" s="47" t="str">
        <f t="shared" ref="H26:H41" si="2">IF(ISBLANK(G26),"",IF(F26*G26*D26&gt;0,F26*G26*D26,0))</f>
        <v/>
      </c>
      <c r="I26" s="47" t="str">
        <f t="shared" ref="I26:I41" si="3">IF(SUM(D26*F26,H26)&gt;0,SUM(D26*F26,H26),"")</f>
        <v/>
      </c>
      <c r="J26" s="13"/>
    </row>
    <row r="27" spans="2:17" x14ac:dyDescent="0.2">
      <c r="B27" s="2"/>
      <c r="H27" s="1" t="str">
        <f t="shared" si="2"/>
        <v/>
      </c>
      <c r="I27" s="1" t="str">
        <f t="shared" si="3"/>
        <v/>
      </c>
      <c r="J27" s="13"/>
    </row>
    <row r="28" spans="2:17" x14ac:dyDescent="0.2">
      <c r="B28" s="2"/>
      <c r="H28" s="1" t="str">
        <f t="shared" si="2"/>
        <v/>
      </c>
      <c r="I28" s="1" t="str">
        <f t="shared" si="3"/>
        <v/>
      </c>
      <c r="J28" s="13"/>
    </row>
    <row r="29" spans="2:17" x14ac:dyDescent="0.2">
      <c r="B29" s="2"/>
      <c r="H29" s="1" t="str">
        <f t="shared" si="2"/>
        <v/>
      </c>
      <c r="I29" s="1" t="str">
        <f t="shared" si="3"/>
        <v/>
      </c>
      <c r="J29" s="13"/>
    </row>
    <row r="30" spans="2:17" ht="15.75" x14ac:dyDescent="0.25">
      <c r="B30" s="2"/>
      <c r="C30" s="44"/>
      <c r="D30" s="45"/>
      <c r="E30" s="45"/>
      <c r="F30" s="47"/>
      <c r="G30" s="48"/>
      <c r="H30" s="47" t="str">
        <f t="shared" si="2"/>
        <v/>
      </c>
      <c r="I30" s="47" t="str">
        <f t="shared" si="3"/>
        <v/>
      </c>
      <c r="J30" s="13"/>
    </row>
    <row r="31" spans="2:17" ht="15.75" x14ac:dyDescent="0.25">
      <c r="B31" s="2"/>
      <c r="C31" s="44"/>
      <c r="D31" s="45"/>
      <c r="E31" s="45"/>
      <c r="F31" s="47"/>
      <c r="G31" s="48"/>
      <c r="H31" s="47" t="str">
        <f t="shared" si="2"/>
        <v/>
      </c>
      <c r="I31" s="47" t="str">
        <f t="shared" si="3"/>
        <v/>
      </c>
      <c r="J31" s="13"/>
    </row>
    <row r="32" spans="2:17" ht="15.75" x14ac:dyDescent="0.25">
      <c r="B32" s="2"/>
      <c r="C32" s="44"/>
      <c r="D32" s="45"/>
      <c r="E32" s="45"/>
      <c r="F32" s="47"/>
      <c r="G32" s="48"/>
      <c r="H32" s="47" t="str">
        <f t="shared" si="2"/>
        <v/>
      </c>
      <c r="I32" s="47" t="str">
        <f t="shared" si="3"/>
        <v/>
      </c>
      <c r="J32" s="13"/>
    </row>
    <row r="33" spans="2:10" ht="15.75" x14ac:dyDescent="0.25">
      <c r="B33" s="2"/>
      <c r="C33" s="44"/>
      <c r="D33" s="45"/>
      <c r="E33" s="45"/>
      <c r="F33" s="47"/>
      <c r="G33" s="48"/>
      <c r="H33" s="47" t="str">
        <f t="shared" si="2"/>
        <v/>
      </c>
      <c r="I33" s="47" t="str">
        <f t="shared" si="3"/>
        <v/>
      </c>
      <c r="J33" s="13"/>
    </row>
    <row r="34" spans="2:10" ht="15.75" x14ac:dyDescent="0.25">
      <c r="B34" s="2"/>
      <c r="C34" s="44"/>
      <c r="D34" s="45"/>
      <c r="E34" s="45"/>
      <c r="F34" s="47"/>
      <c r="G34" s="48"/>
      <c r="H34" s="47" t="str">
        <f t="shared" si="2"/>
        <v/>
      </c>
      <c r="I34" s="47" t="str">
        <f t="shared" si="3"/>
        <v/>
      </c>
      <c r="J34" s="13"/>
    </row>
    <row r="35" spans="2:10" ht="15.75" x14ac:dyDescent="0.25">
      <c r="B35" s="2"/>
      <c r="C35" s="44"/>
      <c r="D35" s="45"/>
      <c r="E35" s="45"/>
      <c r="F35" s="47"/>
      <c r="G35" s="48"/>
      <c r="H35" s="47" t="str">
        <f t="shared" si="2"/>
        <v/>
      </c>
      <c r="I35" s="47" t="str">
        <f t="shared" si="3"/>
        <v/>
      </c>
      <c r="J35" s="13"/>
    </row>
    <row r="36" spans="2:10" ht="15.75" x14ac:dyDescent="0.25">
      <c r="B36" s="2"/>
      <c r="C36" s="44"/>
      <c r="D36" s="45"/>
      <c r="E36" s="45"/>
      <c r="F36" s="47"/>
      <c r="G36" s="48"/>
      <c r="H36" s="47" t="str">
        <f t="shared" si="2"/>
        <v/>
      </c>
      <c r="I36" s="47" t="str">
        <f t="shared" si="3"/>
        <v/>
      </c>
      <c r="J36" s="13"/>
    </row>
    <row r="37" spans="2:10" ht="15.75" x14ac:dyDescent="0.25">
      <c r="B37" s="2"/>
      <c r="C37" s="44"/>
      <c r="D37" s="45"/>
      <c r="E37" s="45"/>
      <c r="F37" s="47"/>
      <c r="G37" s="48"/>
      <c r="H37" s="47" t="str">
        <f t="shared" si="2"/>
        <v/>
      </c>
      <c r="I37" s="47" t="str">
        <f t="shared" si="3"/>
        <v/>
      </c>
      <c r="J37" s="13"/>
    </row>
    <row r="38" spans="2:10" ht="15.75" x14ac:dyDescent="0.25">
      <c r="B38" s="2"/>
      <c r="C38" s="44"/>
      <c r="D38" s="45"/>
      <c r="E38" s="45"/>
      <c r="F38" s="47"/>
      <c r="G38" s="48"/>
      <c r="H38" s="47" t="str">
        <f t="shared" si="2"/>
        <v/>
      </c>
      <c r="I38" s="47" t="str">
        <f t="shared" si="3"/>
        <v/>
      </c>
      <c r="J38" s="13"/>
    </row>
    <row r="39" spans="2:10" ht="15.75" x14ac:dyDescent="0.25">
      <c r="B39" s="2"/>
      <c r="C39" s="44"/>
      <c r="D39" s="45"/>
      <c r="E39" s="45"/>
      <c r="F39" s="47"/>
      <c r="G39" s="48"/>
      <c r="H39" s="47" t="str">
        <f t="shared" si="2"/>
        <v/>
      </c>
      <c r="I39" s="47" t="str">
        <f t="shared" si="3"/>
        <v/>
      </c>
      <c r="J39" s="13"/>
    </row>
    <row r="40" spans="2:10" ht="15.75" x14ac:dyDescent="0.25">
      <c r="B40" s="2"/>
      <c r="C40" s="44"/>
      <c r="D40" s="45"/>
      <c r="E40" s="45"/>
      <c r="F40" s="47"/>
      <c r="G40" s="48"/>
      <c r="H40" s="47" t="str">
        <f t="shared" si="2"/>
        <v/>
      </c>
      <c r="I40" s="47" t="str">
        <f t="shared" si="3"/>
        <v/>
      </c>
      <c r="J40" s="13"/>
    </row>
    <row r="41" spans="2:10" ht="15.75" x14ac:dyDescent="0.25">
      <c r="B41" s="2"/>
      <c r="C41" s="44"/>
      <c r="D41" s="45"/>
      <c r="E41" s="45"/>
      <c r="F41" s="47"/>
      <c r="G41" s="48"/>
      <c r="H41" s="47" t="str">
        <f t="shared" si="2"/>
        <v/>
      </c>
      <c r="I41" s="47" t="str">
        <f t="shared" si="3"/>
        <v/>
      </c>
      <c r="J41" s="13"/>
    </row>
    <row r="42" spans="2:10" ht="15.75" x14ac:dyDescent="0.25">
      <c r="B42" s="2"/>
      <c r="C42" s="22"/>
      <c r="D42" s="22"/>
      <c r="E42" s="23"/>
      <c r="F42" s="24"/>
      <c r="G42" s="25"/>
      <c r="H42" s="24"/>
      <c r="I42" s="22"/>
      <c r="J42" s="14"/>
    </row>
    <row r="43" spans="2:10" ht="15.75" x14ac:dyDescent="0.25">
      <c r="B43" s="2"/>
      <c r="C43" s="22"/>
      <c r="D43" s="22"/>
      <c r="E43" s="23"/>
      <c r="F43" s="24"/>
      <c r="G43" s="25"/>
      <c r="H43" s="24"/>
      <c r="I43" s="22"/>
      <c r="J43" s="14"/>
    </row>
    <row r="44" spans="2:10" ht="15.75" x14ac:dyDescent="0.25">
      <c r="B44" s="2"/>
      <c r="C44" s="17"/>
      <c r="D44" s="17"/>
      <c r="E44" s="17"/>
      <c r="F44" s="17"/>
      <c r="G44" s="21" t="s">
        <v>27</v>
      </c>
      <c r="H44" s="17"/>
      <c r="I44" s="26">
        <f>SUM(I22:I41)-SUM(H22:H41)</f>
        <v>186</v>
      </c>
      <c r="J44" s="15"/>
    </row>
    <row r="45" spans="2:10" ht="15.75" x14ac:dyDescent="0.25">
      <c r="B45" s="2"/>
      <c r="C45" s="17"/>
      <c r="D45" s="17"/>
      <c r="E45" s="17"/>
      <c r="F45" s="17"/>
      <c r="G45" s="21" t="s">
        <v>28</v>
      </c>
      <c r="H45" s="17"/>
      <c r="I45" s="26">
        <f>SUM(H22:H41)</f>
        <v>114</v>
      </c>
      <c r="J45" s="15"/>
    </row>
    <row r="46" spans="2:10" ht="15.75" x14ac:dyDescent="0.25">
      <c r="B46" s="2"/>
      <c r="C46" s="17"/>
      <c r="D46" s="17"/>
      <c r="E46" s="17"/>
      <c r="F46" s="17"/>
      <c r="G46" s="17"/>
      <c r="H46" s="17"/>
      <c r="I46" s="17"/>
      <c r="J46" s="2"/>
    </row>
    <row r="47" spans="2:10" ht="18.75" x14ac:dyDescent="0.3">
      <c r="B47" s="2"/>
      <c r="C47" s="17"/>
      <c r="D47" s="17"/>
      <c r="E47" s="17"/>
      <c r="F47" s="17"/>
      <c r="G47" s="27" t="s">
        <v>18</v>
      </c>
      <c r="H47" s="28"/>
      <c r="I47" s="30">
        <f>SUM(I22:I41)</f>
        <v>300</v>
      </c>
      <c r="J47" s="16"/>
    </row>
    <row r="48" spans="2:10" ht="15.75" x14ac:dyDescent="0.25">
      <c r="B48" s="2"/>
      <c r="C48" s="17"/>
      <c r="D48" s="17"/>
      <c r="E48" s="17"/>
      <c r="F48" s="17"/>
      <c r="G48" s="17"/>
      <c r="H48" s="17"/>
      <c r="I48" s="17"/>
      <c r="J48" s="2"/>
    </row>
    <row r="49" spans="2:10" ht="15.75" customHeight="1" x14ac:dyDescent="0.2">
      <c r="B49" s="2"/>
      <c r="C49" s="50"/>
      <c r="D49" s="50"/>
      <c r="E49" s="50"/>
      <c r="F49" s="50"/>
      <c r="G49" s="50"/>
      <c r="H49" s="50"/>
      <c r="I49" s="50"/>
      <c r="J49" s="2"/>
    </row>
    <row r="50" spans="2:10" ht="15.75" customHeight="1" x14ac:dyDescent="0.2">
      <c r="B50" s="2"/>
      <c r="C50" s="50"/>
      <c r="D50" s="50"/>
      <c r="E50" s="50"/>
      <c r="F50" s="50"/>
      <c r="G50" s="50"/>
      <c r="H50" s="50"/>
      <c r="I50" s="50"/>
      <c r="J50" s="2"/>
    </row>
    <row r="51" spans="2:10" ht="15.75" customHeight="1" x14ac:dyDescent="0.2">
      <c r="B51" s="2"/>
      <c r="C51" s="50"/>
      <c r="D51" s="50"/>
      <c r="E51" s="50"/>
      <c r="F51" s="50"/>
      <c r="G51" s="50"/>
      <c r="H51" s="50"/>
      <c r="I51" s="50"/>
      <c r="J51" s="2"/>
    </row>
    <row r="52" spans="2:10" ht="15.75" x14ac:dyDescent="0.25">
      <c r="B52" s="2"/>
      <c r="C52" s="17"/>
      <c r="D52" s="17"/>
      <c r="E52" s="17"/>
      <c r="F52" s="17"/>
      <c r="G52" s="17"/>
      <c r="H52" s="17"/>
      <c r="I52" s="17"/>
      <c r="J52" s="2"/>
    </row>
    <row r="53" spans="2:10" ht="15.75" x14ac:dyDescent="0.25">
      <c r="B53" s="2"/>
      <c r="C53" s="17" t="str">
        <f>"Voitte halutessanne käyttää maksamiseen viivakoodia"</f>
        <v>Voitte halutessanne käyttää maksamiseen viivakoodia</v>
      </c>
      <c r="D53" s="17"/>
      <c r="E53" s="17"/>
      <c r="F53" s="17"/>
      <c r="G53" s="17"/>
      <c r="H53" s="17"/>
      <c r="I53" s="17"/>
      <c r="J53" s="2"/>
    </row>
    <row r="54" spans="2:10" ht="15.75" customHeight="1" x14ac:dyDescent="0.25">
      <c r="B54" s="2"/>
      <c r="C54" s="22" t="str">
        <f ca="1">"tai vaihtoehtoisesti pyydämme käyttämään viitenumeroa: " &amp; I8</f>
        <v>tai vaihtoehtoisesti pyydämme käyttämään viitenumeroa: 12012 20222</v>
      </c>
      <c r="D54" s="39"/>
      <c r="E54" s="39"/>
      <c r="F54" s="39"/>
      <c r="G54" s="39"/>
      <c r="H54" s="39"/>
      <c r="I54" s="39"/>
      <c r="J54" s="2"/>
    </row>
    <row r="55" spans="2:10" ht="15.75" customHeight="1" x14ac:dyDescent="0.2">
      <c r="B55" s="2"/>
      <c r="C55" s="2"/>
      <c r="D55" s="39"/>
      <c r="E55" s="39"/>
      <c r="F55" s="39"/>
      <c r="G55" s="39"/>
      <c r="H55" s="39"/>
      <c r="I55" s="39"/>
      <c r="J55" s="2"/>
    </row>
    <row r="56" spans="2:10" ht="15.75" customHeight="1" x14ac:dyDescent="0.2">
      <c r="B56" s="2"/>
      <c r="C56" s="52" t="e">
        <f ca="1">PankkiViivakoodi(I11,I47,I8,I6)</f>
        <v>#VALUE!</v>
      </c>
      <c r="D56" s="53"/>
      <c r="E56" s="53"/>
      <c r="F56" s="53"/>
      <c r="G56" s="53"/>
      <c r="H56" s="53"/>
      <c r="I56" s="54"/>
      <c r="J56" s="2"/>
    </row>
    <row r="57" spans="2:10" ht="15.95" customHeight="1" x14ac:dyDescent="0.2">
      <c r="B57" s="2"/>
      <c r="C57" s="55"/>
      <c r="D57" s="56"/>
      <c r="E57" s="56"/>
      <c r="F57" s="56"/>
      <c r="G57" s="56"/>
      <c r="H57" s="56"/>
      <c r="I57" s="57"/>
      <c r="J57" s="2"/>
    </row>
    <row r="58" spans="2:10" ht="15.75" customHeight="1" x14ac:dyDescent="0.2">
      <c r="B58" s="2"/>
      <c r="C58" s="55"/>
      <c r="D58" s="56"/>
      <c r="E58" s="56"/>
      <c r="F58" s="56"/>
      <c r="G58" s="56"/>
      <c r="H58" s="56"/>
      <c r="I58" s="57"/>
      <c r="J58" s="2"/>
    </row>
    <row r="59" spans="2:10" ht="15.75" customHeight="1" x14ac:dyDescent="0.2">
      <c r="B59" s="2"/>
      <c r="C59" s="55"/>
      <c r="D59" s="56"/>
      <c r="E59" s="56"/>
      <c r="F59" s="56"/>
      <c r="G59" s="56"/>
      <c r="H59" s="56"/>
      <c r="I59" s="57"/>
      <c r="J59" s="2"/>
    </row>
    <row r="60" spans="2:10" ht="15.75" customHeight="1" x14ac:dyDescent="0.2">
      <c r="B60" s="2"/>
      <c r="C60" s="58"/>
      <c r="D60" s="59"/>
      <c r="E60" s="59"/>
      <c r="F60" s="59"/>
      <c r="G60" s="59"/>
      <c r="H60" s="59"/>
      <c r="I60" s="60"/>
      <c r="J60" s="2"/>
    </row>
    <row r="61" spans="2:10" ht="21" customHeight="1" x14ac:dyDescent="0.25">
      <c r="B61" s="2"/>
      <c r="C61" s="22" t="s">
        <v>33</v>
      </c>
      <c r="D61" s="22" t="s">
        <v>34</v>
      </c>
      <c r="E61" s="22"/>
      <c r="F61" s="22"/>
      <c r="G61" s="22"/>
      <c r="H61" s="38" t="str">
        <f>I10</f>
        <v>Pankki</v>
      </c>
      <c r="I61" s="22"/>
      <c r="J61" s="14"/>
    </row>
    <row r="62" spans="2:10" ht="15.75" x14ac:dyDescent="0.25">
      <c r="B62" s="2"/>
      <c r="C62" s="17" t="s">
        <v>25</v>
      </c>
      <c r="D62" s="17" t="s">
        <v>35</v>
      </c>
      <c r="E62" s="17"/>
      <c r="F62" s="17"/>
      <c r="G62" s="17"/>
      <c r="H62" s="29" t="str">
        <f>I11</f>
        <v>Oma tilinumero</v>
      </c>
      <c r="I62" s="17"/>
      <c r="J62" s="2"/>
    </row>
    <row r="63" spans="2:10" ht="15.75" x14ac:dyDescent="0.25">
      <c r="B63" s="2"/>
      <c r="C63" s="17" t="s">
        <v>26</v>
      </c>
      <c r="D63" s="17" t="s">
        <v>36</v>
      </c>
      <c r="E63" s="17"/>
      <c r="F63" s="17"/>
      <c r="G63" s="17"/>
      <c r="H63" s="29" t="str">
        <f>I12</f>
        <v>Koodi</v>
      </c>
      <c r="I63" s="17"/>
      <c r="J63" s="2"/>
    </row>
    <row r="64" spans="2:10" x14ac:dyDescent="0.2">
      <c r="B64" s="2"/>
      <c r="C64" s="2"/>
      <c r="D64" s="2"/>
      <c r="E64" s="2"/>
      <c r="F64" s="2"/>
      <c r="G64" s="2"/>
      <c r="H64" s="2"/>
      <c r="I64" s="2"/>
      <c r="J64" s="2"/>
    </row>
  </sheetData>
  <mergeCells count="1">
    <mergeCell ref="C56:I60"/>
  </mergeCells>
  <pageMargins left="0.31496062992125984" right="0.15748031496062992" top="0.23622047244094491" bottom="0.23622047244094491" header="0" footer="0"/>
  <pageSetup paperSize="9" scale="80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32" r:id="rId4" name="ListBox1">
          <controlPr defaultSize="0" autoLine="0" autoPict="0" r:id="rId5">
            <anchor moveWithCells="1">
              <from>
                <xdr:col>10</xdr:col>
                <xdr:colOff>95250</xdr:colOff>
                <xdr:row>3</xdr:row>
                <xdr:rowOff>95250</xdr:rowOff>
              </from>
              <to>
                <xdr:col>13</xdr:col>
                <xdr:colOff>1581150</xdr:colOff>
                <xdr:row>38</xdr:row>
                <xdr:rowOff>104775</xdr:rowOff>
              </to>
            </anchor>
          </controlPr>
        </control>
      </mc:Choice>
      <mc:Fallback>
        <control shapeId="1032" r:id="rId4" name="List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TallennaJaAvaaUusiLasku">
            <anchor moveWithCells="1" sizeWithCells="1">
              <from>
                <xdr:col>10</xdr:col>
                <xdr:colOff>104775</xdr:colOff>
                <xdr:row>1</xdr:row>
                <xdr:rowOff>0</xdr:rowOff>
              </from>
              <to>
                <xdr:col>10</xdr:col>
                <xdr:colOff>981075</xdr:colOff>
                <xdr:row>1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7" name="Button 6">
          <controlPr defaultSize="0" print="0" autoFill="0" autoPict="0" macro="[0]!Sulje">
            <anchor moveWithCells="1" sizeWithCells="1">
              <from>
                <xdr:col>13</xdr:col>
                <xdr:colOff>19050</xdr:colOff>
                <xdr:row>1</xdr:row>
                <xdr:rowOff>0</xdr:rowOff>
              </from>
              <to>
                <xdr:col>13</xdr:col>
                <xdr:colOff>895350</xdr:colOff>
                <xdr:row>1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" name="Label 10">
          <controlPr defaultSize="0" autoFill="0" autoLine="0" autoPict="0">
            <anchor moveWithCells="1" sizeWithCells="1">
              <from>
                <xdr:col>10</xdr:col>
                <xdr:colOff>95250</xdr:colOff>
                <xdr:row>2</xdr:row>
                <xdr:rowOff>95250</xdr:rowOff>
              </from>
              <to>
                <xdr:col>12</xdr:col>
                <xdr:colOff>19050</xdr:colOff>
                <xdr:row>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9" name="Button 11">
          <controlPr defaultSize="0" print="0" autoFill="0" autoPict="0" macro="[0]!Maksumuistutus">
            <anchor moveWithCells="1" sizeWithCells="1">
              <from>
                <xdr:col>11</xdr:col>
                <xdr:colOff>66675</xdr:colOff>
                <xdr:row>1</xdr:row>
                <xdr:rowOff>0</xdr:rowOff>
              </from>
              <to>
                <xdr:col>12</xdr:col>
                <xdr:colOff>742950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3</vt:i4>
      </vt:variant>
      <vt:variant>
        <vt:lpstr>Nimetyt alueet</vt:lpstr>
      </vt:variant>
      <vt:variant>
        <vt:i4>1</vt:i4>
      </vt:variant>
    </vt:vector>
  </HeadingPairs>
  <TitlesOfParts>
    <vt:vector size="4" baseType="lpstr">
      <vt:lpstr>Taul1</vt:lpstr>
      <vt:lpstr>Taul2</vt:lpstr>
      <vt:lpstr>Taul3</vt:lpstr>
      <vt:lpstr>Taul1!Tulostusalue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Saku</dc:creator>
  <cp:lastModifiedBy>Sakari Sorja</cp:lastModifiedBy>
  <cp:lastPrinted>2014-02-05T22:06:33Z</cp:lastPrinted>
  <dcterms:created xsi:type="dcterms:W3CDTF">2014-02-02T10:22:02Z</dcterms:created>
  <dcterms:modified xsi:type="dcterms:W3CDTF">2022-12-20T09:45:48Z</dcterms:modified>
</cp:coreProperties>
</file>